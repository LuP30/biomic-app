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fe\OneDrive\Bureau\STAGE UPPA\"/>
    </mc:Choice>
  </mc:AlternateContent>
  <xr:revisionPtr revIDLastSave="0" documentId="13_ncr:1_{C67EA8AC-B27A-4B6A-B479-1DDFF4B744AF}" xr6:coauthVersionLast="47" xr6:coauthVersionMax="47" xr10:uidLastSave="{00000000-0000-0000-0000-000000000000}"/>
  <bookViews>
    <workbookView xWindow="-120" yWindow="-120" windowWidth="29040" windowHeight="15720" activeTab="1" xr2:uid="{84274DBD-FB41-4C31-888E-2FEF69788E18}"/>
  </bookViews>
  <sheets>
    <sheet name="ALL_DATA" sheetId="1" r:id="rId1"/>
    <sheet name="MOYEN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J2" i="2"/>
  <c r="K2" i="2"/>
  <c r="L2" i="2"/>
  <c r="M2" i="2"/>
  <c r="N2" i="2"/>
  <c r="O2" i="2"/>
  <c r="P2" i="2"/>
  <c r="Q2" i="2"/>
  <c r="R2" i="2"/>
  <c r="S2" i="2"/>
  <c r="T2" i="2"/>
  <c r="U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BY2" i="2"/>
  <c r="BZ2" i="2"/>
  <c r="CA2" i="2"/>
  <c r="CB2" i="2"/>
  <c r="CC2" i="2"/>
  <c r="CD2" i="2"/>
  <c r="CE2" i="2"/>
  <c r="CF2" i="2"/>
  <c r="J3" i="2"/>
  <c r="K3" i="2"/>
  <c r="L3" i="2"/>
  <c r="M3" i="2"/>
  <c r="N3" i="2"/>
  <c r="O3" i="2"/>
  <c r="P3" i="2"/>
  <c r="Q3" i="2"/>
  <c r="R3" i="2"/>
  <c r="S3" i="2"/>
  <c r="T3" i="2"/>
  <c r="U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BM3" i="2"/>
  <c r="BZ3" i="2"/>
  <c r="CA3" i="2"/>
  <c r="CB3" i="2"/>
  <c r="CC3" i="2"/>
  <c r="CD3" i="2"/>
  <c r="CE3" i="2"/>
  <c r="CF3" i="2"/>
  <c r="J4" i="2"/>
  <c r="K4" i="2"/>
  <c r="L4" i="2"/>
  <c r="M4" i="2"/>
  <c r="N4" i="2"/>
  <c r="O4" i="2"/>
  <c r="P4" i="2"/>
  <c r="Q4" i="2"/>
  <c r="R4" i="2"/>
  <c r="S4" i="2"/>
  <c r="T4" i="2"/>
  <c r="U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BE4" i="2"/>
  <c r="BO4" i="2"/>
  <c r="BT4" i="2"/>
  <c r="BZ4" i="2"/>
  <c r="CA4" i="2"/>
  <c r="CB4" i="2"/>
  <c r="CC4" i="2"/>
  <c r="CD4" i="2"/>
  <c r="CE4" i="2"/>
  <c r="CF4" i="2"/>
  <c r="J5" i="2"/>
  <c r="K5" i="2"/>
  <c r="L5" i="2"/>
  <c r="M5" i="2"/>
  <c r="N5" i="2"/>
  <c r="O5" i="2"/>
  <c r="P5" i="2"/>
  <c r="Q5" i="2"/>
  <c r="R5" i="2"/>
  <c r="S5" i="2"/>
  <c r="T5" i="2"/>
  <c r="U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BE5" i="2"/>
  <c r="BM5" i="2"/>
  <c r="BO5" i="2"/>
  <c r="BT5" i="2"/>
  <c r="BV5" i="2"/>
  <c r="BZ5" i="2"/>
  <c r="CA5" i="2"/>
  <c r="CB5" i="2"/>
  <c r="CC5" i="2"/>
  <c r="CD5" i="2"/>
  <c r="CE5" i="2"/>
  <c r="CF5" i="2"/>
  <c r="J6" i="2"/>
  <c r="K6" i="2"/>
  <c r="L6" i="2"/>
  <c r="M6" i="2"/>
  <c r="N6" i="2"/>
  <c r="O6" i="2"/>
  <c r="P6" i="2"/>
  <c r="Q6" i="2"/>
  <c r="R6" i="2"/>
  <c r="S6" i="2"/>
  <c r="T6" i="2"/>
  <c r="U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BC6" i="2"/>
  <c r="BE6" i="2"/>
  <c r="BM6" i="2"/>
  <c r="BO6" i="2"/>
  <c r="BP6" i="2"/>
  <c r="BT6" i="2"/>
  <c r="BV6" i="2"/>
  <c r="BZ6" i="2"/>
  <c r="CA6" i="2"/>
  <c r="CB6" i="2"/>
  <c r="CC6" i="2"/>
  <c r="CD6" i="2"/>
  <c r="CE6" i="2"/>
  <c r="CF6" i="2"/>
  <c r="J7" i="2"/>
  <c r="K7" i="2"/>
  <c r="M7" i="2"/>
  <c r="N7" i="2"/>
  <c r="O7" i="2"/>
  <c r="P7" i="2"/>
  <c r="Q7" i="2"/>
  <c r="R7" i="2"/>
  <c r="S7" i="2"/>
  <c r="T7" i="2"/>
  <c r="U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BC7" i="2"/>
  <c r="BE7" i="2"/>
  <c r="BH7" i="2"/>
  <c r="BM7" i="2"/>
  <c r="BO7" i="2"/>
  <c r="BT7" i="2"/>
  <c r="BV7" i="2"/>
  <c r="BZ7" i="2"/>
  <c r="CA7" i="2"/>
  <c r="CB7" i="2"/>
  <c r="CC7" i="2"/>
  <c r="CD7" i="2"/>
  <c r="CE7" i="2"/>
  <c r="CF7" i="2"/>
  <c r="O8" i="2"/>
  <c r="P8" i="2"/>
  <c r="Q8" i="2"/>
  <c r="R8" i="2"/>
  <c r="S8" i="2"/>
  <c r="T8" i="2"/>
  <c r="U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L8" i="2"/>
  <c r="AM8" i="2"/>
  <c r="AN8" i="2"/>
  <c r="AP8" i="2"/>
  <c r="BC8" i="2"/>
  <c r="BE8" i="2"/>
  <c r="BH8" i="2"/>
  <c r="BM8" i="2"/>
  <c r="BO8" i="2"/>
  <c r="BT8" i="2"/>
  <c r="BV8" i="2"/>
  <c r="BY8" i="2"/>
  <c r="BZ8" i="2"/>
  <c r="CA8" i="2"/>
  <c r="CB8" i="2"/>
  <c r="CC8" i="2"/>
  <c r="CD8" i="2"/>
  <c r="CE8" i="2"/>
  <c r="CF8" i="2"/>
  <c r="J9" i="2"/>
  <c r="K9" i="2"/>
  <c r="L9" i="2"/>
  <c r="M9" i="2"/>
  <c r="N9" i="2"/>
  <c r="O9" i="2"/>
  <c r="P9" i="2"/>
  <c r="Q9" i="2"/>
  <c r="R9" i="2"/>
  <c r="S9" i="2"/>
  <c r="T9" i="2"/>
  <c r="U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BM9" i="2"/>
  <c r="BZ9" i="2"/>
  <c r="CA9" i="2"/>
  <c r="CB9" i="2"/>
  <c r="CC9" i="2"/>
  <c r="CD9" i="2"/>
  <c r="CE9" i="2"/>
  <c r="CF9" i="2"/>
  <c r="J10" i="2"/>
  <c r="K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H10" i="2"/>
  <c r="AI10" i="2"/>
  <c r="AJ10" i="2"/>
  <c r="AK10" i="2"/>
  <c r="AL10" i="2"/>
  <c r="AM10" i="2"/>
  <c r="AN10" i="2"/>
  <c r="AO10" i="2"/>
  <c r="AP10" i="2"/>
  <c r="BY10" i="2"/>
  <c r="BZ10" i="2"/>
  <c r="CA10" i="2"/>
  <c r="CB10" i="2"/>
  <c r="CC10" i="2"/>
  <c r="CD10" i="2"/>
  <c r="CE10" i="2"/>
  <c r="CF10" i="2"/>
  <c r="J11" i="2"/>
  <c r="K11" i="2"/>
  <c r="M11" i="2"/>
  <c r="N11" i="2"/>
  <c r="O11" i="2"/>
  <c r="P11" i="2"/>
  <c r="Q11" i="2"/>
  <c r="R11" i="2"/>
  <c r="S11" i="2"/>
  <c r="T11" i="2"/>
  <c r="U11" i="2"/>
  <c r="W11" i="2"/>
  <c r="X11" i="2"/>
  <c r="Y11" i="2"/>
  <c r="Z11" i="2"/>
  <c r="AA11" i="2"/>
  <c r="AB11" i="2"/>
  <c r="AC11" i="2"/>
  <c r="AD11" i="2"/>
  <c r="AE11" i="2"/>
  <c r="AF11" i="2"/>
  <c r="AH11" i="2"/>
  <c r="AI11" i="2"/>
  <c r="AJ11" i="2"/>
  <c r="AK11" i="2"/>
  <c r="AL11" i="2"/>
  <c r="AM11" i="2"/>
  <c r="AN11" i="2"/>
  <c r="AO11" i="2"/>
  <c r="AP11" i="2"/>
  <c r="BM11" i="2"/>
  <c r="BZ11" i="2"/>
  <c r="CA11" i="2"/>
  <c r="CB11" i="2"/>
  <c r="CC11" i="2"/>
  <c r="CD11" i="2"/>
  <c r="CE11" i="2"/>
  <c r="CF11" i="2"/>
  <c r="J12" i="2"/>
  <c r="K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H12" i="2"/>
  <c r="AI12" i="2"/>
  <c r="AJ12" i="2"/>
  <c r="AK12" i="2"/>
  <c r="AL12" i="2"/>
  <c r="AM12" i="2"/>
  <c r="AN12" i="2"/>
  <c r="AO12" i="2"/>
  <c r="AP12" i="2"/>
  <c r="AQ12" i="2"/>
  <c r="BE12" i="2"/>
  <c r="BO12" i="2"/>
  <c r="BT12" i="2"/>
  <c r="BZ12" i="2"/>
  <c r="CA12" i="2"/>
  <c r="CB12" i="2"/>
  <c r="CC12" i="2"/>
  <c r="CD12" i="2"/>
  <c r="CE12" i="2"/>
  <c r="CF12" i="2"/>
  <c r="J13" i="2"/>
  <c r="K13" i="2"/>
  <c r="M13" i="2"/>
  <c r="N13" i="2"/>
  <c r="O13" i="2"/>
  <c r="P13" i="2"/>
  <c r="Q13" i="2"/>
  <c r="R13" i="2"/>
  <c r="S13" i="2"/>
  <c r="T13" i="2"/>
  <c r="U13" i="2"/>
  <c r="W13" i="2"/>
  <c r="X13" i="2"/>
  <c r="Y13" i="2"/>
  <c r="Z13" i="2"/>
  <c r="AA13" i="2"/>
  <c r="AB13" i="2"/>
  <c r="AC13" i="2"/>
  <c r="AD13" i="2"/>
  <c r="AE13" i="2"/>
  <c r="AF13" i="2"/>
  <c r="AH13" i="2"/>
  <c r="AI13" i="2"/>
  <c r="AJ13" i="2"/>
  <c r="AK13" i="2"/>
  <c r="AL13" i="2"/>
  <c r="AM13" i="2"/>
  <c r="AN13" i="2"/>
  <c r="AO13" i="2"/>
  <c r="AP13" i="2"/>
  <c r="BE13" i="2"/>
  <c r="BM13" i="2"/>
  <c r="BO13" i="2"/>
  <c r="BT13" i="2"/>
  <c r="BV13" i="2"/>
  <c r="BZ13" i="2"/>
  <c r="CA13" i="2"/>
  <c r="CB13" i="2"/>
  <c r="CC13" i="2"/>
  <c r="CD13" i="2"/>
  <c r="CE13" i="2"/>
  <c r="CF13" i="2"/>
  <c r="J14" i="2"/>
  <c r="K14" i="2"/>
  <c r="M14" i="2"/>
  <c r="N14" i="2"/>
  <c r="O14" i="2"/>
  <c r="P14" i="2"/>
  <c r="Q14" i="2"/>
  <c r="R14" i="2"/>
  <c r="S14" i="2"/>
  <c r="T14" i="2"/>
  <c r="U14" i="2"/>
  <c r="W14" i="2"/>
  <c r="X14" i="2"/>
  <c r="Y14" i="2"/>
  <c r="Z14" i="2"/>
  <c r="AA14" i="2"/>
  <c r="AB14" i="2"/>
  <c r="AC14" i="2"/>
  <c r="AD14" i="2"/>
  <c r="AE14" i="2"/>
  <c r="AF14" i="2"/>
  <c r="AH14" i="2"/>
  <c r="AI14" i="2"/>
  <c r="AJ14" i="2"/>
  <c r="AK14" i="2"/>
  <c r="AL14" i="2"/>
  <c r="AM14" i="2"/>
  <c r="AN14" i="2"/>
  <c r="AO14" i="2"/>
  <c r="AP14" i="2"/>
  <c r="BC14" i="2"/>
  <c r="BE14" i="2"/>
  <c r="BM14" i="2"/>
  <c r="BO14" i="2"/>
  <c r="BP14" i="2"/>
  <c r="BT14" i="2"/>
  <c r="BV14" i="2"/>
  <c r="BZ14" i="2"/>
  <c r="CA14" i="2"/>
  <c r="CB14" i="2"/>
  <c r="CC14" i="2"/>
  <c r="CD14" i="2"/>
  <c r="CE14" i="2"/>
  <c r="CF14" i="2"/>
  <c r="J15" i="2"/>
  <c r="K15" i="2"/>
  <c r="M15" i="2"/>
  <c r="N15" i="2"/>
  <c r="O15" i="2"/>
  <c r="P15" i="2"/>
  <c r="Q15" i="2"/>
  <c r="R15" i="2"/>
  <c r="S15" i="2"/>
  <c r="T15" i="2"/>
  <c r="U15" i="2"/>
  <c r="W15" i="2"/>
  <c r="X15" i="2"/>
  <c r="Y15" i="2"/>
  <c r="Z15" i="2"/>
  <c r="AA15" i="2"/>
  <c r="AB15" i="2"/>
  <c r="AC15" i="2"/>
  <c r="AD15" i="2"/>
  <c r="AE15" i="2"/>
  <c r="AF15" i="2"/>
  <c r="AH15" i="2"/>
  <c r="AI15" i="2"/>
  <c r="AJ15" i="2"/>
  <c r="AK15" i="2"/>
  <c r="AL15" i="2"/>
  <c r="AM15" i="2"/>
  <c r="AN15" i="2"/>
  <c r="AO15" i="2"/>
  <c r="AP15" i="2"/>
  <c r="BC15" i="2"/>
  <c r="BE15" i="2"/>
  <c r="BH15" i="2"/>
  <c r="BM15" i="2"/>
  <c r="BO15" i="2"/>
  <c r="BT15" i="2"/>
  <c r="BV15" i="2"/>
  <c r="BZ15" i="2"/>
  <c r="CA15" i="2"/>
  <c r="CB15" i="2"/>
  <c r="CC15" i="2"/>
  <c r="CD15" i="2"/>
  <c r="CE15" i="2"/>
  <c r="CF15" i="2"/>
  <c r="J16" i="2"/>
  <c r="K16" i="2"/>
  <c r="M16" i="2"/>
  <c r="N16" i="2"/>
  <c r="O16" i="2"/>
  <c r="P16" i="2"/>
  <c r="Q16" i="2"/>
  <c r="R16" i="2"/>
  <c r="S16" i="2"/>
  <c r="T16" i="2"/>
  <c r="U16" i="2"/>
  <c r="W16" i="2"/>
  <c r="X16" i="2"/>
  <c r="Y16" i="2"/>
  <c r="Z16" i="2"/>
  <c r="AA16" i="2"/>
  <c r="AB16" i="2"/>
  <c r="AC16" i="2"/>
  <c r="AD16" i="2"/>
  <c r="AE16" i="2"/>
  <c r="AF16" i="2"/>
  <c r="AH16" i="2"/>
  <c r="AI16" i="2"/>
  <c r="AJ16" i="2"/>
  <c r="AK16" i="2"/>
  <c r="AL16" i="2"/>
  <c r="AM16" i="2"/>
  <c r="AN16" i="2"/>
  <c r="AO16" i="2"/>
  <c r="AP16" i="2"/>
  <c r="BC16" i="2"/>
  <c r="BE16" i="2"/>
  <c r="BH16" i="2"/>
  <c r="BM16" i="2"/>
  <c r="BO16" i="2"/>
  <c r="BT16" i="2"/>
  <c r="BV16" i="2"/>
  <c r="BY16" i="2"/>
  <c r="BZ16" i="2"/>
  <c r="CA16" i="2"/>
  <c r="CB16" i="2"/>
  <c r="CC16" i="2"/>
  <c r="CD16" i="2"/>
  <c r="CE16" i="2"/>
  <c r="CF16" i="2"/>
  <c r="J17" i="2"/>
  <c r="K17" i="2"/>
  <c r="M17" i="2"/>
  <c r="N17" i="2"/>
  <c r="O17" i="2"/>
  <c r="P17" i="2"/>
  <c r="Q17" i="2"/>
  <c r="R17" i="2"/>
  <c r="S17" i="2"/>
  <c r="T17" i="2"/>
  <c r="U17" i="2"/>
  <c r="W17" i="2"/>
  <c r="X17" i="2"/>
  <c r="Y17" i="2"/>
  <c r="Z17" i="2"/>
  <c r="AA17" i="2"/>
  <c r="AB17" i="2"/>
  <c r="AC17" i="2"/>
  <c r="AD17" i="2"/>
  <c r="AE17" i="2"/>
  <c r="AF17" i="2"/>
  <c r="AH17" i="2"/>
  <c r="AI17" i="2"/>
  <c r="AJ17" i="2"/>
  <c r="AK17" i="2"/>
  <c r="AL17" i="2"/>
  <c r="AM17" i="2"/>
  <c r="AN17" i="2"/>
  <c r="AO17" i="2"/>
  <c r="AP17" i="2"/>
  <c r="BM17" i="2"/>
  <c r="BZ17" i="2"/>
  <c r="CA17" i="2"/>
  <c r="CB17" i="2"/>
  <c r="CC17" i="2"/>
  <c r="CD17" i="2"/>
  <c r="CE17" i="2"/>
  <c r="CF17" i="2"/>
  <c r="J18" i="2"/>
  <c r="K18" i="2"/>
  <c r="L18" i="2"/>
  <c r="M18" i="2"/>
  <c r="N18" i="2"/>
  <c r="O18" i="2"/>
  <c r="P18" i="2"/>
  <c r="Q18" i="2"/>
  <c r="R18" i="2"/>
  <c r="S18" i="2"/>
  <c r="T18" i="2"/>
  <c r="U18" i="2"/>
  <c r="W18" i="2"/>
  <c r="X18" i="2"/>
  <c r="Y18" i="2"/>
  <c r="Z18" i="2"/>
  <c r="AA18" i="2"/>
  <c r="AB18" i="2"/>
  <c r="AC18" i="2"/>
  <c r="AD18" i="2"/>
  <c r="AE18" i="2"/>
  <c r="AF18" i="2"/>
  <c r="AH18" i="2"/>
  <c r="AI18" i="2"/>
  <c r="AJ18" i="2"/>
  <c r="AK18" i="2"/>
  <c r="AL18" i="2"/>
  <c r="AM18" i="2"/>
  <c r="AN18" i="2"/>
  <c r="AO18" i="2"/>
  <c r="AP18" i="2"/>
  <c r="BY18" i="2"/>
  <c r="BZ18" i="2"/>
  <c r="CA18" i="2"/>
  <c r="CB18" i="2"/>
  <c r="CC18" i="2"/>
  <c r="CD18" i="2"/>
  <c r="CE18" i="2"/>
  <c r="CF18" i="2"/>
  <c r="J19" i="2"/>
  <c r="K19" i="2"/>
  <c r="L19" i="2"/>
  <c r="M19" i="2"/>
  <c r="N19" i="2"/>
  <c r="O19" i="2"/>
  <c r="P19" i="2"/>
  <c r="Q19" i="2"/>
  <c r="R19" i="2"/>
  <c r="S19" i="2"/>
  <c r="T19" i="2"/>
  <c r="U19" i="2"/>
  <c r="W19" i="2"/>
  <c r="X19" i="2"/>
  <c r="Y19" i="2"/>
  <c r="Z19" i="2"/>
  <c r="AA19" i="2"/>
  <c r="AB19" i="2"/>
  <c r="AC19" i="2"/>
  <c r="AD19" i="2"/>
  <c r="AE19" i="2"/>
  <c r="AF19" i="2"/>
  <c r="AH19" i="2"/>
  <c r="AI19" i="2"/>
  <c r="AJ19" i="2"/>
  <c r="AK19" i="2"/>
  <c r="AL19" i="2"/>
  <c r="AM19" i="2"/>
  <c r="AN19" i="2"/>
  <c r="AO19" i="2"/>
  <c r="AP19" i="2"/>
  <c r="BM19" i="2"/>
  <c r="BZ19" i="2"/>
  <c r="CA19" i="2"/>
  <c r="CB19" i="2"/>
  <c r="CC19" i="2"/>
  <c r="CD19" i="2"/>
  <c r="CE19" i="2"/>
  <c r="CF19" i="2"/>
  <c r="J20" i="2"/>
  <c r="K20" i="2"/>
  <c r="L20" i="2"/>
  <c r="M20" i="2"/>
  <c r="N20" i="2"/>
  <c r="O20" i="2"/>
  <c r="P20" i="2"/>
  <c r="Q20" i="2"/>
  <c r="R20" i="2"/>
  <c r="S20" i="2"/>
  <c r="T20" i="2"/>
  <c r="U20" i="2"/>
  <c r="W20" i="2"/>
  <c r="X20" i="2"/>
  <c r="Y20" i="2"/>
  <c r="Z20" i="2"/>
  <c r="AA20" i="2"/>
  <c r="AB20" i="2"/>
  <c r="AC20" i="2"/>
  <c r="AD20" i="2"/>
  <c r="AE20" i="2"/>
  <c r="AF20" i="2"/>
  <c r="AH20" i="2"/>
  <c r="AI20" i="2"/>
  <c r="AJ20" i="2"/>
  <c r="AK20" i="2"/>
  <c r="AL20" i="2"/>
  <c r="AM20" i="2"/>
  <c r="AN20" i="2"/>
  <c r="AO20" i="2"/>
  <c r="AP20" i="2"/>
  <c r="AQ20" i="2"/>
  <c r="BE20" i="2"/>
  <c r="BO20" i="2"/>
  <c r="BT20" i="2"/>
  <c r="BZ20" i="2"/>
  <c r="CA20" i="2"/>
  <c r="CB20" i="2"/>
  <c r="CC20" i="2"/>
  <c r="CD20" i="2"/>
  <c r="CE20" i="2"/>
  <c r="CF20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H21" i="2"/>
  <c r="AI21" i="2"/>
  <c r="AJ21" i="2"/>
  <c r="AK21" i="2"/>
  <c r="AL21" i="2"/>
  <c r="AM21" i="2"/>
  <c r="AN21" i="2"/>
  <c r="AO21" i="2"/>
  <c r="AP21" i="2"/>
  <c r="BE21" i="2"/>
  <c r="BM21" i="2"/>
  <c r="BO21" i="2"/>
  <c r="BT21" i="2"/>
  <c r="BV21" i="2"/>
  <c r="BZ21" i="2"/>
  <c r="CA21" i="2"/>
  <c r="CB21" i="2"/>
  <c r="CC21" i="2"/>
  <c r="CD21" i="2"/>
  <c r="CE21" i="2"/>
  <c r="CF21" i="2"/>
  <c r="J22" i="2"/>
  <c r="K22" i="2"/>
  <c r="L22" i="2"/>
  <c r="M22" i="2"/>
  <c r="N22" i="2"/>
  <c r="O22" i="2"/>
  <c r="P22" i="2"/>
  <c r="Q22" i="2"/>
  <c r="R22" i="2"/>
  <c r="S22" i="2"/>
  <c r="T22" i="2"/>
  <c r="U22" i="2"/>
  <c r="W22" i="2"/>
  <c r="X22" i="2"/>
  <c r="Y22" i="2"/>
  <c r="Z22" i="2"/>
  <c r="AA22" i="2"/>
  <c r="AB22" i="2"/>
  <c r="AC22" i="2"/>
  <c r="AD22" i="2"/>
  <c r="AE22" i="2"/>
  <c r="AF22" i="2"/>
  <c r="AH22" i="2"/>
  <c r="AI22" i="2"/>
  <c r="AJ22" i="2"/>
  <c r="AK22" i="2"/>
  <c r="AL22" i="2"/>
  <c r="AM22" i="2"/>
  <c r="AN22" i="2"/>
  <c r="AO22" i="2"/>
  <c r="AP22" i="2"/>
  <c r="BC22" i="2"/>
  <c r="BE22" i="2"/>
  <c r="BM22" i="2"/>
  <c r="BO22" i="2"/>
  <c r="BP22" i="2"/>
  <c r="BT22" i="2"/>
  <c r="BV22" i="2"/>
  <c r="BZ22" i="2"/>
  <c r="CA22" i="2"/>
  <c r="CB22" i="2"/>
  <c r="CC22" i="2"/>
  <c r="CD22" i="2"/>
  <c r="CE22" i="2"/>
  <c r="CF22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H23" i="2"/>
  <c r="AI23" i="2"/>
  <c r="AJ23" i="2"/>
  <c r="AK23" i="2"/>
  <c r="AL23" i="2"/>
  <c r="AM23" i="2"/>
  <c r="AN23" i="2"/>
  <c r="AO23" i="2"/>
  <c r="AP23" i="2"/>
  <c r="BC23" i="2"/>
  <c r="BE23" i="2"/>
  <c r="BH23" i="2"/>
  <c r="BM23" i="2"/>
  <c r="BO23" i="2"/>
  <c r="BT23" i="2"/>
  <c r="BV23" i="2"/>
  <c r="BZ23" i="2"/>
  <c r="CA23" i="2"/>
  <c r="CB23" i="2"/>
  <c r="CC23" i="2"/>
  <c r="CD23" i="2"/>
  <c r="CE23" i="2"/>
  <c r="CF23" i="2"/>
  <c r="J24" i="2"/>
  <c r="K24" i="2"/>
  <c r="L24" i="2"/>
  <c r="M24" i="2"/>
  <c r="N24" i="2"/>
  <c r="O24" i="2"/>
  <c r="P24" i="2"/>
  <c r="Q24" i="2"/>
  <c r="R24" i="2"/>
  <c r="S24" i="2"/>
  <c r="T24" i="2"/>
  <c r="U24" i="2"/>
  <c r="W24" i="2"/>
  <c r="X24" i="2"/>
  <c r="Y24" i="2"/>
  <c r="Z24" i="2"/>
  <c r="AA24" i="2"/>
  <c r="AB24" i="2"/>
  <c r="AC24" i="2"/>
  <c r="AD24" i="2"/>
  <c r="AE24" i="2"/>
  <c r="AF24" i="2"/>
  <c r="AH24" i="2"/>
  <c r="AI24" i="2"/>
  <c r="AJ24" i="2"/>
  <c r="AK24" i="2"/>
  <c r="AL24" i="2"/>
  <c r="AM24" i="2"/>
  <c r="AN24" i="2"/>
  <c r="AO24" i="2"/>
  <c r="AP24" i="2"/>
  <c r="BC24" i="2"/>
  <c r="BE24" i="2"/>
  <c r="BH24" i="2"/>
  <c r="BM24" i="2"/>
  <c r="BO24" i="2"/>
  <c r="BT24" i="2"/>
  <c r="BV24" i="2"/>
  <c r="BY24" i="2"/>
  <c r="BZ24" i="2"/>
  <c r="CA24" i="2"/>
  <c r="CB24" i="2"/>
  <c r="CC24" i="2"/>
  <c r="CD24" i="2"/>
  <c r="CE24" i="2"/>
  <c r="CF24" i="2"/>
  <c r="J25" i="2"/>
  <c r="K25" i="2"/>
  <c r="L25" i="2"/>
  <c r="M25" i="2"/>
  <c r="N25" i="2"/>
  <c r="O25" i="2"/>
  <c r="P25" i="2"/>
  <c r="Q25" i="2"/>
  <c r="R25" i="2"/>
  <c r="S25" i="2"/>
  <c r="T25" i="2"/>
  <c r="U25" i="2"/>
  <c r="W25" i="2"/>
  <c r="X25" i="2"/>
  <c r="Y25" i="2"/>
  <c r="Z25" i="2"/>
  <c r="AA25" i="2"/>
  <c r="AB25" i="2"/>
  <c r="AC25" i="2"/>
  <c r="AD25" i="2"/>
  <c r="AE25" i="2"/>
  <c r="AF25" i="2"/>
  <c r="AH25" i="2"/>
  <c r="AI25" i="2"/>
  <c r="AJ25" i="2"/>
  <c r="AK25" i="2"/>
  <c r="AL25" i="2"/>
  <c r="AM25" i="2"/>
  <c r="AN25" i="2"/>
  <c r="AO25" i="2"/>
  <c r="AP25" i="2"/>
  <c r="BM25" i="2"/>
  <c r="BZ25" i="2"/>
  <c r="CA25" i="2"/>
  <c r="CB25" i="2"/>
  <c r="CC25" i="2"/>
  <c r="CD25" i="2"/>
  <c r="CE25" i="2"/>
  <c r="CF25" i="2"/>
  <c r="J26" i="2"/>
  <c r="K26" i="2"/>
  <c r="L26" i="2"/>
  <c r="M26" i="2"/>
  <c r="N26" i="2"/>
  <c r="O26" i="2"/>
  <c r="P26" i="2"/>
  <c r="Q26" i="2"/>
  <c r="R26" i="2"/>
  <c r="S26" i="2"/>
  <c r="T26" i="2"/>
  <c r="U26" i="2"/>
  <c r="W26" i="2"/>
  <c r="X26" i="2"/>
  <c r="Y26" i="2"/>
  <c r="Z26" i="2"/>
  <c r="AA26" i="2"/>
  <c r="AB26" i="2"/>
  <c r="AC26" i="2"/>
  <c r="AD26" i="2"/>
  <c r="AE26" i="2"/>
  <c r="AF26" i="2"/>
  <c r="AH26" i="2"/>
  <c r="AI26" i="2"/>
  <c r="AJ26" i="2"/>
  <c r="AK26" i="2"/>
  <c r="AL26" i="2"/>
  <c r="AM26" i="2"/>
  <c r="AN26" i="2"/>
  <c r="AO26" i="2"/>
  <c r="AP26" i="2"/>
  <c r="BY26" i="2"/>
  <c r="BZ26" i="2"/>
  <c r="CA26" i="2"/>
  <c r="CB26" i="2"/>
  <c r="CC26" i="2"/>
  <c r="CD26" i="2"/>
  <c r="CE26" i="2"/>
  <c r="CF26" i="2"/>
  <c r="J27" i="2"/>
  <c r="K27" i="2"/>
  <c r="L27" i="2"/>
  <c r="M27" i="2"/>
  <c r="N27" i="2"/>
  <c r="O27" i="2"/>
  <c r="P27" i="2"/>
  <c r="Q27" i="2"/>
  <c r="R27" i="2"/>
  <c r="S27" i="2"/>
  <c r="T27" i="2"/>
  <c r="U27" i="2"/>
  <c r="W27" i="2"/>
  <c r="X27" i="2"/>
  <c r="Y27" i="2"/>
  <c r="Z27" i="2"/>
  <c r="AA27" i="2"/>
  <c r="AB27" i="2"/>
  <c r="AC27" i="2"/>
  <c r="AD27" i="2"/>
  <c r="AE27" i="2"/>
  <c r="AF27" i="2"/>
  <c r="AH27" i="2"/>
  <c r="AI27" i="2"/>
  <c r="AJ27" i="2"/>
  <c r="AK27" i="2"/>
  <c r="AL27" i="2"/>
  <c r="AM27" i="2"/>
  <c r="AN27" i="2"/>
  <c r="AO27" i="2"/>
  <c r="AP27" i="2"/>
  <c r="BM27" i="2"/>
  <c r="BZ27" i="2"/>
  <c r="CA27" i="2"/>
  <c r="CB27" i="2"/>
  <c r="CC27" i="2"/>
  <c r="CD27" i="2"/>
  <c r="CE27" i="2"/>
  <c r="CF27" i="2"/>
  <c r="J28" i="2"/>
  <c r="K28" i="2"/>
  <c r="L28" i="2"/>
  <c r="M28" i="2"/>
  <c r="N28" i="2"/>
  <c r="O28" i="2"/>
  <c r="P28" i="2"/>
  <c r="Q28" i="2"/>
  <c r="R28" i="2"/>
  <c r="S28" i="2"/>
  <c r="T28" i="2"/>
  <c r="U28" i="2"/>
  <c r="W28" i="2"/>
  <c r="X28" i="2"/>
  <c r="Y28" i="2"/>
  <c r="Z28" i="2"/>
  <c r="AA28" i="2"/>
  <c r="AB28" i="2"/>
  <c r="AC28" i="2"/>
  <c r="AD28" i="2"/>
  <c r="AE28" i="2"/>
  <c r="AF28" i="2"/>
  <c r="AH28" i="2"/>
  <c r="AI28" i="2"/>
  <c r="AJ28" i="2"/>
  <c r="AK28" i="2"/>
  <c r="AL28" i="2"/>
  <c r="AM28" i="2"/>
  <c r="AN28" i="2"/>
  <c r="AO28" i="2"/>
  <c r="AP28" i="2"/>
  <c r="AQ28" i="2"/>
  <c r="BE28" i="2"/>
  <c r="BO28" i="2"/>
  <c r="BT28" i="2"/>
  <c r="BZ28" i="2"/>
  <c r="CA28" i="2"/>
  <c r="CB28" i="2"/>
  <c r="CC28" i="2"/>
  <c r="CD28" i="2"/>
  <c r="CE28" i="2"/>
  <c r="CF28" i="2"/>
  <c r="J29" i="2"/>
  <c r="K29" i="2"/>
  <c r="L29" i="2"/>
  <c r="M29" i="2"/>
  <c r="N29" i="2"/>
  <c r="O29" i="2"/>
  <c r="P29" i="2"/>
  <c r="Q29" i="2"/>
  <c r="R29" i="2"/>
  <c r="S29" i="2"/>
  <c r="T29" i="2"/>
  <c r="U29" i="2"/>
  <c r="W29" i="2"/>
  <c r="X29" i="2"/>
  <c r="Y29" i="2"/>
  <c r="Z29" i="2"/>
  <c r="AA29" i="2"/>
  <c r="AB29" i="2"/>
  <c r="AC29" i="2"/>
  <c r="AD29" i="2"/>
  <c r="AE29" i="2"/>
  <c r="AF29" i="2"/>
  <c r="AH29" i="2"/>
  <c r="AI29" i="2"/>
  <c r="AJ29" i="2"/>
  <c r="AK29" i="2"/>
  <c r="AL29" i="2"/>
  <c r="AM29" i="2"/>
  <c r="AN29" i="2"/>
  <c r="AO29" i="2"/>
  <c r="AP29" i="2"/>
  <c r="BE29" i="2"/>
  <c r="BM29" i="2"/>
  <c r="BO29" i="2"/>
  <c r="BT29" i="2"/>
  <c r="BV29" i="2"/>
  <c r="BZ29" i="2"/>
  <c r="CA29" i="2"/>
  <c r="CB29" i="2"/>
  <c r="CC29" i="2"/>
  <c r="CD29" i="2"/>
  <c r="CE29" i="2"/>
  <c r="CF29" i="2"/>
  <c r="J30" i="2"/>
  <c r="K30" i="2"/>
  <c r="L30" i="2"/>
  <c r="M30" i="2"/>
  <c r="N30" i="2"/>
  <c r="O30" i="2"/>
  <c r="P30" i="2"/>
  <c r="Q30" i="2"/>
  <c r="R30" i="2"/>
  <c r="S30" i="2"/>
  <c r="T30" i="2"/>
  <c r="U30" i="2"/>
  <c r="W30" i="2"/>
  <c r="X30" i="2"/>
  <c r="Y30" i="2"/>
  <c r="Z30" i="2"/>
  <c r="AA30" i="2"/>
  <c r="AB30" i="2"/>
  <c r="AC30" i="2"/>
  <c r="AD30" i="2"/>
  <c r="AE30" i="2"/>
  <c r="AF30" i="2"/>
  <c r="AH30" i="2"/>
  <c r="AI30" i="2"/>
  <c r="AJ30" i="2"/>
  <c r="AK30" i="2"/>
  <c r="AL30" i="2"/>
  <c r="AM30" i="2"/>
  <c r="AN30" i="2"/>
  <c r="AO30" i="2"/>
  <c r="AP30" i="2"/>
  <c r="BC30" i="2"/>
  <c r="BE30" i="2"/>
  <c r="BM30" i="2"/>
  <c r="BO30" i="2"/>
  <c r="BP30" i="2"/>
  <c r="BT30" i="2"/>
  <c r="BV30" i="2"/>
  <c r="BZ30" i="2"/>
  <c r="CA30" i="2"/>
  <c r="CB30" i="2"/>
  <c r="CC30" i="2"/>
  <c r="CD30" i="2"/>
  <c r="CE30" i="2"/>
  <c r="CF30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H31" i="2"/>
  <c r="AI31" i="2"/>
  <c r="AJ31" i="2"/>
  <c r="AK31" i="2"/>
  <c r="AL31" i="2"/>
  <c r="AM31" i="2"/>
  <c r="AN31" i="2"/>
  <c r="AO31" i="2"/>
  <c r="AP31" i="2"/>
  <c r="BC31" i="2"/>
  <c r="BE31" i="2"/>
  <c r="BH31" i="2"/>
  <c r="BM31" i="2"/>
  <c r="BO31" i="2"/>
  <c r="BT31" i="2"/>
  <c r="BV31" i="2"/>
  <c r="BZ31" i="2"/>
  <c r="CA31" i="2"/>
  <c r="CB31" i="2"/>
  <c r="CC31" i="2"/>
  <c r="CD31" i="2"/>
  <c r="CE31" i="2"/>
  <c r="CF31" i="2"/>
  <c r="J32" i="2"/>
  <c r="K32" i="2"/>
  <c r="L32" i="2"/>
  <c r="M32" i="2"/>
  <c r="N32" i="2"/>
  <c r="O32" i="2"/>
  <c r="P32" i="2"/>
  <c r="Q32" i="2"/>
  <c r="R32" i="2"/>
  <c r="S32" i="2"/>
  <c r="T32" i="2"/>
  <c r="U32" i="2"/>
  <c r="W32" i="2"/>
  <c r="X32" i="2"/>
  <c r="Y32" i="2"/>
  <c r="Z32" i="2"/>
  <c r="AA32" i="2"/>
  <c r="AB32" i="2"/>
  <c r="AC32" i="2"/>
  <c r="AD32" i="2"/>
  <c r="AE32" i="2"/>
  <c r="AF32" i="2"/>
  <c r="AH32" i="2"/>
  <c r="AI32" i="2"/>
  <c r="AJ32" i="2"/>
  <c r="AK32" i="2"/>
  <c r="AL32" i="2"/>
  <c r="AM32" i="2"/>
  <c r="AN32" i="2"/>
  <c r="AO32" i="2"/>
  <c r="AP32" i="2"/>
  <c r="BC32" i="2"/>
  <c r="BE32" i="2"/>
  <c r="BH32" i="2"/>
  <c r="BM32" i="2"/>
  <c r="BO32" i="2"/>
  <c r="BT32" i="2"/>
  <c r="BV32" i="2"/>
  <c r="BY32" i="2"/>
  <c r="BZ32" i="2"/>
  <c r="CA32" i="2"/>
  <c r="CB32" i="2"/>
  <c r="CC32" i="2"/>
  <c r="CD32" i="2"/>
  <c r="CE32" i="2"/>
  <c r="CF32" i="2"/>
  <c r="J33" i="2"/>
  <c r="K33" i="2"/>
  <c r="L33" i="2"/>
  <c r="M33" i="2"/>
  <c r="N33" i="2"/>
  <c r="O33" i="2"/>
  <c r="P33" i="2"/>
  <c r="Q33" i="2"/>
  <c r="R33" i="2"/>
  <c r="S33" i="2"/>
  <c r="T33" i="2"/>
  <c r="U33" i="2"/>
  <c r="W33" i="2"/>
  <c r="X33" i="2"/>
  <c r="Y33" i="2"/>
  <c r="Z33" i="2"/>
  <c r="AA33" i="2"/>
  <c r="AB33" i="2"/>
  <c r="AC33" i="2"/>
  <c r="AD33" i="2"/>
  <c r="AE33" i="2"/>
  <c r="AF33" i="2"/>
  <c r="AH33" i="2"/>
  <c r="AI33" i="2"/>
  <c r="AJ33" i="2"/>
  <c r="AK33" i="2"/>
  <c r="AL33" i="2"/>
  <c r="AM33" i="2"/>
  <c r="AN33" i="2"/>
  <c r="AO33" i="2"/>
  <c r="AP33" i="2"/>
  <c r="BM33" i="2"/>
  <c r="BZ33" i="2"/>
  <c r="CA33" i="2"/>
  <c r="CB33" i="2"/>
  <c r="CC33" i="2"/>
  <c r="CD33" i="2"/>
  <c r="CE33" i="2"/>
  <c r="CF33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AP20" i="1"/>
  <c r="AO8" i="2" s="1"/>
  <c r="AN20" i="1"/>
  <c r="AM20" i="1"/>
  <c r="AL20" i="1"/>
  <c r="AK8" i="2" s="1"/>
  <c r="W97" i="1"/>
  <c r="W96" i="1"/>
  <c r="W95" i="1"/>
  <c r="V33" i="2" s="1"/>
  <c r="W94" i="1"/>
  <c r="V32" i="2" s="1"/>
  <c r="W93" i="1"/>
  <c r="W92" i="1"/>
  <c r="W91" i="1"/>
  <c r="W90" i="1"/>
  <c r="W89" i="1"/>
  <c r="W88" i="1"/>
  <c r="W87" i="1"/>
  <c r="W86" i="1"/>
  <c r="V30" i="2" s="1"/>
  <c r="W85" i="1"/>
  <c r="V29" i="2" s="1"/>
  <c r="W84" i="1"/>
  <c r="W83" i="1"/>
  <c r="W82" i="1"/>
  <c r="W81" i="1"/>
  <c r="W80" i="1"/>
  <c r="V28" i="2" s="1"/>
  <c r="W79" i="1"/>
  <c r="W78" i="1"/>
  <c r="W77" i="1"/>
  <c r="V27" i="2" s="1"/>
  <c r="W76" i="1"/>
  <c r="W75" i="1"/>
  <c r="W74" i="1"/>
  <c r="V26" i="2" s="1"/>
  <c r="W73" i="1"/>
  <c r="W72" i="1"/>
  <c r="W71" i="1"/>
  <c r="V25" i="2" s="1"/>
  <c r="W70" i="1"/>
  <c r="W69" i="1"/>
  <c r="W68" i="1"/>
  <c r="V24" i="2" s="1"/>
  <c r="W67" i="1"/>
  <c r="W66" i="1"/>
  <c r="W65" i="1"/>
  <c r="W64" i="1"/>
  <c r="W63" i="1"/>
  <c r="W62" i="1"/>
  <c r="V22" i="2" s="1"/>
  <c r="W61" i="1"/>
  <c r="W60" i="1"/>
  <c r="W59" i="1"/>
  <c r="W58" i="1"/>
  <c r="W57" i="1"/>
  <c r="W56" i="1"/>
  <c r="V20" i="2" s="1"/>
  <c r="W55" i="1"/>
  <c r="W54" i="1"/>
  <c r="W53" i="1"/>
  <c r="V19" i="2" s="1"/>
  <c r="W52" i="1"/>
  <c r="W51" i="1"/>
  <c r="W50" i="1"/>
  <c r="V18" i="2" s="1"/>
  <c r="W49" i="1"/>
  <c r="W48" i="1"/>
  <c r="W47" i="1"/>
  <c r="V17" i="2" s="1"/>
  <c r="W46" i="1"/>
  <c r="W45" i="1"/>
  <c r="W44" i="1"/>
  <c r="V16" i="2" s="1"/>
  <c r="W43" i="1"/>
  <c r="W42" i="1"/>
  <c r="W41" i="1"/>
  <c r="V15" i="2" s="1"/>
  <c r="W40" i="1"/>
  <c r="W39" i="1"/>
  <c r="W38" i="1"/>
  <c r="V14" i="2" s="1"/>
  <c r="W37" i="1"/>
  <c r="W36" i="1"/>
  <c r="W35" i="1"/>
  <c r="V13" i="2" s="1"/>
  <c r="W34" i="1"/>
  <c r="W33" i="1"/>
  <c r="W32" i="1"/>
  <c r="W31" i="1"/>
  <c r="W30" i="1"/>
  <c r="V11" i="2" s="1"/>
  <c r="W29" i="1"/>
  <c r="W28" i="1"/>
  <c r="W27" i="1"/>
  <c r="W26" i="1"/>
  <c r="W25" i="1"/>
  <c r="W24" i="1"/>
  <c r="W23" i="1"/>
  <c r="V9" i="2" s="1"/>
  <c r="W22" i="1"/>
  <c r="W21" i="1"/>
  <c r="V8" i="2" s="1"/>
  <c r="W20" i="1"/>
  <c r="W19" i="1"/>
  <c r="W18" i="1"/>
  <c r="W17" i="1"/>
  <c r="V7" i="2" s="1"/>
  <c r="W16" i="1"/>
  <c r="W15" i="1"/>
  <c r="W14" i="1"/>
  <c r="V6" i="2" s="1"/>
  <c r="W13" i="1"/>
  <c r="W12" i="1"/>
  <c r="W11" i="1"/>
  <c r="V5" i="2" s="1"/>
  <c r="W10" i="1"/>
  <c r="W9" i="1"/>
  <c r="W8" i="1"/>
  <c r="V4" i="2" s="1"/>
  <c r="W7" i="1"/>
  <c r="W6" i="1"/>
  <c r="W5" i="1"/>
  <c r="V3" i="2" s="1"/>
  <c r="W4" i="1"/>
  <c r="W3" i="1"/>
  <c r="W2" i="1"/>
  <c r="V2" i="2" s="1"/>
  <c r="M49" i="1"/>
  <c r="M48" i="1"/>
  <c r="M47" i="1"/>
  <c r="L17" i="2" s="1"/>
  <c r="M46" i="1"/>
  <c r="L16" i="2" s="1"/>
  <c r="M45" i="1"/>
  <c r="M44" i="1"/>
  <c r="M43" i="1"/>
  <c r="M42" i="1"/>
  <c r="M41" i="1"/>
  <c r="L15" i="2" s="1"/>
  <c r="M40" i="1"/>
  <c r="M39" i="1"/>
  <c r="M38" i="1"/>
  <c r="L14" i="2" s="1"/>
  <c r="M37" i="1"/>
  <c r="M36" i="1"/>
  <c r="M35" i="1"/>
  <c r="L13" i="2" s="1"/>
  <c r="M34" i="1"/>
  <c r="M33" i="1"/>
  <c r="M32" i="1"/>
  <c r="L12" i="2" s="1"/>
  <c r="M31" i="1"/>
  <c r="M30" i="1"/>
  <c r="L11" i="2" s="1"/>
  <c r="M29" i="1"/>
  <c r="M28" i="1"/>
  <c r="M27" i="1"/>
  <c r="M26" i="1"/>
  <c r="L10" i="2" s="1"/>
  <c r="N22" i="1"/>
  <c r="M8" i="2" s="1"/>
  <c r="M22" i="1"/>
  <c r="L8" i="2" s="1"/>
  <c r="L22" i="1"/>
  <c r="K8" i="2" s="1"/>
  <c r="K22" i="1"/>
  <c r="J8" i="2" s="1"/>
  <c r="O20" i="1"/>
  <c r="N8" i="2" s="1"/>
  <c r="M19" i="1"/>
  <c r="M18" i="1"/>
  <c r="L7" i="2"/>
</calcChain>
</file>

<file path=xl/sharedStrings.xml><?xml version="1.0" encoding="utf-8"?>
<sst xmlns="http://schemas.openxmlformats.org/spreadsheetml/2006/main" count="4976" uniqueCount="353">
  <si>
    <t>Sample_ID</t>
  </si>
  <si>
    <t>Replicate</t>
  </si>
  <si>
    <t>Date</t>
  </si>
  <si>
    <t>Localisation_X</t>
  </si>
  <si>
    <t>Localisation_Y</t>
  </si>
  <si>
    <t>Sediment_temperature</t>
  </si>
  <si>
    <t>pH</t>
  </si>
  <si>
    <t>Salinity</t>
  </si>
  <si>
    <t>Conductivity</t>
  </si>
  <si>
    <t>RedOx</t>
  </si>
  <si>
    <t>COD</t>
  </si>
  <si>
    <t>Site</t>
  </si>
  <si>
    <t>Season</t>
  </si>
  <si>
    <t>Typology</t>
  </si>
  <si>
    <t>Bacteria</t>
  </si>
  <si>
    <t>Nematoda</t>
  </si>
  <si>
    <t>Copepoda</t>
  </si>
  <si>
    <t>Ostracoda</t>
  </si>
  <si>
    <t>Total_meiofauna</t>
  </si>
  <si>
    <t>Chlorophyll_a</t>
  </si>
  <si>
    <t>Pheopigment</t>
  </si>
  <si>
    <t>Active_chlorophyll_a</t>
  </si>
  <si>
    <t>Al</t>
  </si>
  <si>
    <t>As</t>
  </si>
  <si>
    <t>Cd</t>
  </si>
  <si>
    <t>Co</t>
  </si>
  <si>
    <t>Cr</t>
  </si>
  <si>
    <t>Cu</t>
  </si>
  <si>
    <t>Fe</t>
  </si>
  <si>
    <t>Mn</t>
  </si>
  <si>
    <t>Ni</t>
  </si>
  <si>
    <t>Pb</t>
  </si>
  <si>
    <t>Se</t>
  </si>
  <si>
    <t>V</t>
  </si>
  <si>
    <t>Zn</t>
  </si>
  <si>
    <t>Ag</t>
  </si>
  <si>
    <t>NO3</t>
  </si>
  <si>
    <t>NO2</t>
  </si>
  <si>
    <t>PO4</t>
  </si>
  <si>
    <t>Si</t>
  </si>
  <si>
    <t>Water_content</t>
  </si>
  <si>
    <t>D10</t>
  </si>
  <si>
    <t>D50</t>
  </si>
  <si>
    <t>D90</t>
  </si>
  <si>
    <t>Clay</t>
  </si>
  <si>
    <t>Silt</t>
  </si>
  <si>
    <t>Sand</t>
  </si>
  <si>
    <t>Total_Hydrocarbon</t>
  </si>
  <si>
    <t>ST6_A20_1</t>
  </si>
  <si>
    <t>ST6_A20_2</t>
  </si>
  <si>
    <t>ST6_A20_3</t>
  </si>
  <si>
    <t>ST75_A20_1</t>
  </si>
  <si>
    <t>ST75_A20_2</t>
  </si>
  <si>
    <t>ST75_A20_3</t>
  </si>
  <si>
    <t>ST16_A20_1</t>
  </si>
  <si>
    <t>ST16_A20_2</t>
  </si>
  <si>
    <t>ST16_A20_3</t>
  </si>
  <si>
    <t>ST13_A20_1</t>
  </si>
  <si>
    <t>ST13_A20_2</t>
  </si>
  <si>
    <t>ST13_A20_3</t>
  </si>
  <si>
    <t>ST52_A20</t>
  </si>
  <si>
    <t>ST52_A20_1</t>
  </si>
  <si>
    <t>ST52_A20_2</t>
  </si>
  <si>
    <t>ST52_A20_3</t>
  </si>
  <si>
    <t>ST6</t>
  </si>
  <si>
    <t>ST61_A20_1</t>
  </si>
  <si>
    <t>ST61_A20_2</t>
  </si>
  <si>
    <t>ST61_A20_3</t>
  </si>
  <si>
    <t>ST63_A20_1</t>
  </si>
  <si>
    <t>ST63_A20_2</t>
  </si>
  <si>
    <t>ST63_A20_3</t>
  </si>
  <si>
    <t>STRAPH_A20_1</t>
  </si>
  <si>
    <t>STRAPH_A20_2</t>
  </si>
  <si>
    <t>STRAPH_A20_3</t>
  </si>
  <si>
    <t>ST75</t>
  </si>
  <si>
    <t>ST16</t>
  </si>
  <si>
    <t>ST13</t>
  </si>
  <si>
    <t>ST52</t>
  </si>
  <si>
    <t>ST61</t>
  </si>
  <si>
    <t>ST63</t>
  </si>
  <si>
    <t>STRAPH</t>
  </si>
  <si>
    <t>St75</t>
  </si>
  <si>
    <t>FRESHWATER</t>
  </si>
  <si>
    <t>BRACKISH</t>
  </si>
  <si>
    <t>SALTED</t>
  </si>
  <si>
    <t>AUTUMN_2020</t>
  </si>
  <si>
    <t>ST6_P21_1</t>
  </si>
  <si>
    <t>ST75_P21_1</t>
  </si>
  <si>
    <t>ST6_P21_2</t>
  </si>
  <si>
    <t>ST6_P21_3</t>
  </si>
  <si>
    <t>ST75_P21_2</t>
  </si>
  <si>
    <t>ST75_P21_3</t>
  </si>
  <si>
    <t>ST16_P21_1</t>
  </si>
  <si>
    <t>ST16_P21_2</t>
  </si>
  <si>
    <t>ST16_P21_3</t>
  </si>
  <si>
    <t>ST13_P21_1</t>
  </si>
  <si>
    <t>ST13_P21_2</t>
  </si>
  <si>
    <t>ST13_P21_3</t>
  </si>
  <si>
    <t>ST52_P21_1</t>
  </si>
  <si>
    <t>ST52_P21_2</t>
  </si>
  <si>
    <t>ST52_P21_3</t>
  </si>
  <si>
    <t>ST61_P21_1</t>
  </si>
  <si>
    <t>ST61_P21_2</t>
  </si>
  <si>
    <t>ST61_P21_3</t>
  </si>
  <si>
    <t>ST63_P21_1</t>
  </si>
  <si>
    <t>ST63_P21_2</t>
  </si>
  <si>
    <t>ST63_P21_3</t>
  </si>
  <si>
    <t>STRAPH_P21_1</t>
  </si>
  <si>
    <t>STRAPH_P21_2</t>
  </si>
  <si>
    <t>STRAPH_P21_3</t>
  </si>
  <si>
    <t>ST6_E21_1</t>
  </si>
  <si>
    <t>ST6_E21_2</t>
  </si>
  <si>
    <t>ST6_E21_3</t>
  </si>
  <si>
    <t>ST75_E21_1</t>
  </si>
  <si>
    <t>ST75_E21_2</t>
  </si>
  <si>
    <t>ST75_E21_3</t>
  </si>
  <si>
    <t>ST16_E21_1</t>
  </si>
  <si>
    <t>ST16_E21_2</t>
  </si>
  <si>
    <t>ST16_E21_3</t>
  </si>
  <si>
    <t>ST13_E21_1</t>
  </si>
  <si>
    <t>ST13_E21_2</t>
  </si>
  <si>
    <t>ST13_E21_3</t>
  </si>
  <si>
    <t>ST52_E21_1</t>
  </si>
  <si>
    <t>ST52_E21_2</t>
  </si>
  <si>
    <t>ST52_E21_3</t>
  </si>
  <si>
    <t>ST61_E21_1</t>
  </si>
  <si>
    <t>ST61_E21_2</t>
  </si>
  <si>
    <t>ST61_E21_3</t>
  </si>
  <si>
    <t>ST63_E21_1</t>
  </si>
  <si>
    <t>ST63_E21_2</t>
  </si>
  <si>
    <t>ST63_E21_3</t>
  </si>
  <si>
    <t>STRAPH_E21_1</t>
  </si>
  <si>
    <t>STRAPH_E21_2</t>
  </si>
  <si>
    <t>STRAPH_E21_3</t>
  </si>
  <si>
    <t>ST6_A21_1</t>
  </si>
  <si>
    <t>ST6_A21_2</t>
  </si>
  <si>
    <t>ST6_A21_3</t>
  </si>
  <si>
    <t>ST75_A21_1</t>
  </si>
  <si>
    <t>ST75_A21_2</t>
  </si>
  <si>
    <t>ST75_A21_3</t>
  </si>
  <si>
    <t>ST16_A21_1</t>
  </si>
  <si>
    <t>ST16_A21_2</t>
  </si>
  <si>
    <t>ST16_A21_3</t>
  </si>
  <si>
    <t>ST13_A21_1</t>
  </si>
  <si>
    <t>ST13_A21_2</t>
  </si>
  <si>
    <t>ST13_A21_3</t>
  </si>
  <si>
    <t>ST52_A21_1</t>
  </si>
  <si>
    <t>ST52_A21_2</t>
  </si>
  <si>
    <t>ST52_A21_3</t>
  </si>
  <si>
    <t>ST61_A21_1</t>
  </si>
  <si>
    <t>ST61_A21_2</t>
  </si>
  <si>
    <t>ST61_A21_3</t>
  </si>
  <si>
    <t>ST63_A21_1</t>
  </si>
  <si>
    <t>ST63_A21_2</t>
  </si>
  <si>
    <t>ST63_A21_3</t>
  </si>
  <si>
    <t>STRAPH_A21_1</t>
  </si>
  <si>
    <t>STRAPH_A21_2</t>
  </si>
  <si>
    <t>STRAPH_A21_3</t>
  </si>
  <si>
    <t>SPRING_2021</t>
  </si>
  <si>
    <t>SUMMER_2021</t>
  </si>
  <si>
    <t>AUTUMN_2021</t>
  </si>
  <si>
    <t>46.28213</t>
  </si>
  <si>
    <t>-0.969368</t>
  </si>
  <si>
    <t>45.883995</t>
  </si>
  <si>
    <t>-1.055508</t>
  </si>
  <si>
    <t>46.23537</t>
  </si>
  <si>
    <t>-1.514997</t>
  </si>
  <si>
    <t>46.262243</t>
  </si>
  <si>
    <t>-1.106867</t>
  </si>
  <si>
    <t>45.961839</t>
  </si>
  <si>
    <t>-1.278105</t>
  </si>
  <si>
    <t>45.771769</t>
  </si>
  <si>
    <t>-1.054261</t>
  </si>
  <si>
    <t>45.323742</t>
  </si>
  <si>
    <t>-0.70269</t>
  </si>
  <si>
    <t>45.996237</t>
  </si>
  <si>
    <t>-0.793843</t>
  </si>
  <si>
    <t>11h46</t>
  </si>
  <si>
    <t>11h38</t>
  </si>
  <si>
    <t>11h21</t>
  </si>
  <si>
    <t>Heure</t>
  </si>
  <si>
    <t>NH4</t>
  </si>
  <si>
    <t>NA</t>
  </si>
  <si>
    <t>ST6_A20</t>
  </si>
  <si>
    <t>ST75_A20</t>
  </si>
  <si>
    <t>ST16_A20</t>
  </si>
  <si>
    <t>ST13_A20</t>
  </si>
  <si>
    <t>ST61_A20</t>
  </si>
  <si>
    <t>ST63_A20</t>
  </si>
  <si>
    <t>STRAPH_A20</t>
  </si>
  <si>
    <t>Sample</t>
  </si>
  <si>
    <t>ST6_P21</t>
  </si>
  <si>
    <t>ST75_P21</t>
  </si>
  <si>
    <t>ST16_P21</t>
  </si>
  <si>
    <t>ST13_P21</t>
  </si>
  <si>
    <t>ST52_P21</t>
  </si>
  <si>
    <t>ST61_P21</t>
  </si>
  <si>
    <t>ST63_P21</t>
  </si>
  <si>
    <t>STRAPH_P21</t>
  </si>
  <si>
    <t>ST6_E21</t>
  </si>
  <si>
    <t>ST75_E21</t>
  </si>
  <si>
    <t>ST16_E21</t>
  </si>
  <si>
    <t>ST13_E21</t>
  </si>
  <si>
    <t>ST52_E21</t>
  </si>
  <si>
    <t>ST61_E21</t>
  </si>
  <si>
    <t>ST63_E21</t>
  </si>
  <si>
    <t>STRAPH_E21</t>
  </si>
  <si>
    <t>ST6_A21</t>
  </si>
  <si>
    <t>ST75_A21</t>
  </si>
  <si>
    <t>ST16_A21</t>
  </si>
  <si>
    <t>ST13_A21</t>
  </si>
  <si>
    <t>ST52_A21</t>
  </si>
  <si>
    <t>ST61_A21</t>
  </si>
  <si>
    <t>ST63_A21</t>
  </si>
  <si>
    <t>STRAPH_A21</t>
  </si>
  <si>
    <t>1,3,5-TriCB</t>
  </si>
  <si>
    <t>1,2,4-TriCB</t>
  </si>
  <si>
    <t>1,2,3-TriCB</t>
  </si>
  <si>
    <t>HCBD</t>
  </si>
  <si>
    <t>Dichlorvos</t>
  </si>
  <si>
    <t>PeCBz</t>
  </si>
  <si>
    <t>HCB</t>
  </si>
  <si>
    <t xml:space="preserve">Heptachlor </t>
  </si>
  <si>
    <t>2,4'-Dicofol</t>
  </si>
  <si>
    <t>oxychlordane</t>
  </si>
  <si>
    <t>4,4'-Dicofol</t>
  </si>
  <si>
    <t>Heptachlor epoxyde cis</t>
  </si>
  <si>
    <t>Heptachlor epoxyde trans</t>
  </si>
  <si>
    <t>o,p-DDE</t>
  </si>
  <si>
    <t>Trans nanochlor</t>
  </si>
  <si>
    <t>p,p-DDE</t>
  </si>
  <si>
    <t>Dieldrin</t>
  </si>
  <si>
    <t>o,p-DDD</t>
  </si>
  <si>
    <t>o,p-DDT</t>
  </si>
  <si>
    <t>Endrin</t>
  </si>
  <si>
    <t>cis-nanochlor</t>
  </si>
  <si>
    <t>p,p-DDD</t>
  </si>
  <si>
    <t xml:space="preserve">quinoxyfen </t>
  </si>
  <si>
    <t>p,p-DDT</t>
  </si>
  <si>
    <t>endosulfan sulfate</t>
  </si>
  <si>
    <t xml:space="preserve"> mirex </t>
  </si>
  <si>
    <t>cypermethrine</t>
  </si>
  <si>
    <t>a-HCH</t>
  </si>
  <si>
    <t>g-HCH</t>
  </si>
  <si>
    <t>b-HCH</t>
  </si>
  <si>
    <t>d-HCH</t>
  </si>
  <si>
    <t>g-chlordane</t>
  </si>
  <si>
    <t>a-endosulfan</t>
  </si>
  <si>
    <t>a-chlordane</t>
  </si>
  <si>
    <t>b-endosulfan</t>
  </si>
  <si>
    <t>&lt; 0.008</t>
  </si>
  <si>
    <t>&lt; 2.988</t>
  </si>
  <si>
    <t>&lt; 0.061</t>
  </si>
  <si>
    <t>&lt; 0.312</t>
  </si>
  <si>
    <t>&lt; 0.015</t>
  </si>
  <si>
    <t>&lt; 0.056</t>
  </si>
  <si>
    <t>&lt; 2.376</t>
  </si>
  <si>
    <t>&lt; 0.005</t>
  </si>
  <si>
    <t>&lt; 0.477</t>
  </si>
  <si>
    <t>&lt; 0.040</t>
  </si>
  <si>
    <t>&lt; 0.166</t>
  </si>
  <si>
    <t>&lt; 0.004</t>
  </si>
  <si>
    <t>&lt; 0.049</t>
  </si>
  <si>
    <t>&lt; 0.048</t>
  </si>
  <si>
    <t>&lt; 0.009</t>
  </si>
  <si>
    <t>&lt; 0.027</t>
  </si>
  <si>
    <t>&lt; 0.068</t>
  </si>
  <si>
    <t>&lt; 0.007</t>
  </si>
  <si>
    <t>&lt; 0.025</t>
  </si>
  <si>
    <t>&lt; 0.016</t>
  </si>
  <si>
    <t>&lt; 0.067</t>
  </si>
  <si>
    <t>&lt; 0.010</t>
  </si>
  <si>
    <t>&lt; 0.017</t>
  </si>
  <si>
    <t>&lt; 0.029</t>
  </si>
  <si>
    <t>&lt; 0.013</t>
  </si>
  <si>
    <t>&lt; 0.097</t>
  </si>
  <si>
    <t>&lt; 0.019</t>
  </si>
  <si>
    <t>&lt; 2.399</t>
  </si>
  <si>
    <t>&lt; 0.059</t>
  </si>
  <si>
    <t>&lt; 0.311</t>
  </si>
  <si>
    <t>&lt; 0.054</t>
  </si>
  <si>
    <t>&lt; 2.502</t>
  </si>
  <si>
    <t>&lt; 0.467</t>
  </si>
  <si>
    <t>&lt; 0.118</t>
  </si>
  <si>
    <t>&lt; 0.030</t>
  </si>
  <si>
    <t>&lt; 0.028</t>
  </si>
  <si>
    <t>&lt; 0.087</t>
  </si>
  <si>
    <t>&lt; 0.018</t>
  </si>
  <si>
    <t>&lt; 0.100</t>
  </si>
  <si>
    <t>&lt; 0.023</t>
  </si>
  <si>
    <t>&lt; 2.794</t>
  </si>
  <si>
    <t>&lt; 0.057</t>
  </si>
  <si>
    <t>&lt; 0.292</t>
  </si>
  <si>
    <t>&lt; 0.014</t>
  </si>
  <si>
    <t>&lt; 0.052</t>
  </si>
  <si>
    <t>&lt; 2.222</t>
  </si>
  <si>
    <t>&lt; 0.446</t>
  </si>
  <si>
    <t>&lt; 0.037</t>
  </si>
  <si>
    <t>&lt; 0.155</t>
  </si>
  <si>
    <t>&lt; 0.046</t>
  </si>
  <si>
    <t>&lt; 0.045</t>
  </si>
  <si>
    <t>&lt; 0.064</t>
  </si>
  <si>
    <t>&lt; 0.063</t>
  </si>
  <si>
    <t>&lt; 0.024</t>
  </si>
  <si>
    <t>&lt; 0.012</t>
  </si>
  <si>
    <t>&lt; 0.091</t>
  </si>
  <si>
    <t>&lt; 3.048</t>
  </si>
  <si>
    <t>&lt; 0.062</t>
  </si>
  <si>
    <t>&lt; 0.319</t>
  </si>
  <si>
    <t>&lt; 2.424</t>
  </si>
  <si>
    <t>&lt; 0.486</t>
  </si>
  <si>
    <t>&lt; 0.169</t>
  </si>
  <si>
    <t>&lt; 0.050</t>
  </si>
  <si>
    <t>&lt; 0.070</t>
  </si>
  <si>
    <t>&lt; 0.026</t>
  </si>
  <si>
    <t>&lt; 0.069</t>
  </si>
  <si>
    <t>&lt; 0.099</t>
  </si>
  <si>
    <t>&lt; 2.874</t>
  </si>
  <si>
    <t>&lt; 0.058</t>
  </si>
  <si>
    <t>&lt; 0.300</t>
  </si>
  <si>
    <t>&lt; 2.285</t>
  </si>
  <si>
    <t>&lt; 0.459</t>
  </si>
  <si>
    <t>&lt; 0.038</t>
  </si>
  <si>
    <t>&lt; 0.159</t>
  </si>
  <si>
    <t>&lt; 0.066</t>
  </si>
  <si>
    <t>&lt; 0.065</t>
  </si>
  <si>
    <t>&lt; 0.094</t>
  </si>
  <si>
    <t>&lt; 2.307</t>
  </si>
  <si>
    <t>&lt; 0.299</t>
  </si>
  <si>
    <t>&lt; 2.406</t>
  </si>
  <si>
    <t>&lt; 0.449</t>
  </si>
  <si>
    <t>&lt; 0.113</t>
  </si>
  <si>
    <t>&lt; 0.084</t>
  </si>
  <si>
    <t>&lt; 0.096</t>
  </si>
  <si>
    <t>&lt; 0.022</t>
  </si>
  <si>
    <t>&lt; 2.448</t>
  </si>
  <si>
    <t>&lt; 0.317</t>
  </si>
  <si>
    <t>&lt; 0.055</t>
  </si>
  <si>
    <t>&lt; 2.553</t>
  </si>
  <si>
    <t>&lt; 0.476</t>
  </si>
  <si>
    <t>&lt; 0.120</t>
  </si>
  <si>
    <t>&lt; 0.089</t>
  </si>
  <si>
    <t>&lt; 0.102</t>
  </si>
  <si>
    <t>&lt; 0.308</t>
  </si>
  <si>
    <t>&lt; 2.477</t>
  </si>
  <si>
    <t>&lt; 0.462</t>
  </si>
  <si>
    <t>&lt; 0.117</t>
  </si>
  <si>
    <t>&lt; 0.086</t>
  </si>
  <si>
    <t>&lt; 0.4</t>
  </si>
  <si>
    <t>&lt; 0.39</t>
  </si>
  <si>
    <t>&lt; 0.41</t>
  </si>
  <si>
    <t>&lt; 0.38</t>
  </si>
  <si>
    <t>&lt; 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</si>
</sst>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6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1" fontId="0" fillId="2" borderId="21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2" fillId="2" borderId="22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36" xfId="0" applyNumberFormat="1" applyFill="1" applyBorder="1" applyAlignment="1">
      <alignment horizontal="center"/>
    </xf>
    <xf numFmtId="2" fontId="0" fillId="2" borderId="19" xfId="0" applyNumberFormat="1" applyFill="1" applyBorder="1" applyAlignment="1">
      <alignment horizontal="center"/>
    </xf>
    <xf numFmtId="2" fontId="0" fillId="2" borderId="2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20" fontId="0" fillId="2" borderId="7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1" fontId="0" fillId="2" borderId="23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2" fillId="2" borderId="24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2" fontId="0" fillId="2" borderId="2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20" fontId="0" fillId="2" borderId="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1" fontId="0" fillId="2" borderId="25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2" fillId="2" borderId="26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37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20" xfId="0" applyNumberFormat="1" applyFill="1" applyBorder="1" applyAlignment="1">
      <alignment horizontal="center"/>
    </xf>
    <xf numFmtId="2" fontId="0" fillId="2" borderId="29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0" fillId="2" borderId="38" xfId="0" applyNumberFormat="1" applyFill="1" applyBorder="1"/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20" fontId="0" fillId="3" borderId="6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1" fontId="0" fillId="3" borderId="21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2" fillId="3" borderId="22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36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20" fontId="0" fillId="3" borderId="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1" fontId="0" fillId="3" borderId="23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20" fontId="0" fillId="3" borderId="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1" fontId="0" fillId="3" borderId="25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2" fillId="3" borderId="26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3" borderId="37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32" xfId="0" applyNumberForma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33" xfId="0" applyNumberFormat="1" applyFill="1" applyBorder="1" applyAlignment="1">
      <alignment horizontal="center"/>
    </xf>
    <xf numFmtId="2" fontId="0" fillId="3" borderId="24" xfId="0" applyNumberFormat="1" applyFill="1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34" xfId="0" applyNumberFormat="1" applyFill="1" applyBorder="1" applyAlignment="1">
      <alignment horizontal="center"/>
    </xf>
    <xf numFmtId="2" fontId="0" fillId="3" borderId="26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3" borderId="25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2" fillId="3" borderId="22" xfId="0" applyNumberFormat="1" applyFon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2" fillId="3" borderId="24" xfId="0" applyNumberFormat="1" applyFon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2" fillId="3" borderId="26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20" fontId="0" fillId="3" borderId="9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20" fontId="0" fillId="3" borderId="10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14" fontId="0" fillId="4" borderId="14" xfId="0" applyNumberFormat="1" applyFill="1" applyBorder="1" applyAlignment="1">
      <alignment horizontal="center" vertical="center"/>
    </xf>
    <xf numFmtId="20" fontId="0" fillId="4" borderId="6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4" borderId="21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2" fillId="4" borderId="22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/>
    </xf>
    <xf numFmtId="0" fontId="0" fillId="4" borderId="32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4" borderId="36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20" fontId="0" fillId="4" borderId="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1" fontId="0" fillId="4" borderId="23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2" fillId="4" borderId="24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/>
    </xf>
    <xf numFmtId="0" fontId="0" fillId="4" borderId="39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4" fontId="0" fillId="4" borderId="15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1" fontId="0" fillId="4" borderId="25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2" fillId="4" borderId="26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/>
    </xf>
    <xf numFmtId="0" fontId="0" fillId="4" borderId="4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4" borderId="37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20" fontId="0" fillId="4" borderId="9" xfId="0" applyNumberForma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1" fontId="0" fillId="4" borderId="27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2" fillId="4" borderId="28" xfId="0" applyNumberFormat="1" applyFont="1" applyFill="1" applyBorder="1" applyAlignment="1">
      <alignment horizontal="center" vertical="center"/>
    </xf>
    <xf numFmtId="164" fontId="2" fillId="4" borderId="9" xfId="0" applyNumberFormat="1" applyFont="1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20" fontId="0" fillId="4" borderId="10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1" fontId="0" fillId="4" borderId="29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30" xfId="0" applyNumberFormat="1" applyFill="1" applyBorder="1" applyAlignment="1">
      <alignment horizontal="center" vertical="center"/>
    </xf>
    <xf numFmtId="164" fontId="2" fillId="4" borderId="31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164" fontId="0" fillId="4" borderId="32" xfId="0" applyNumberFormat="1" applyFill="1" applyBorder="1" applyAlignment="1">
      <alignment horizontal="center" vertical="center"/>
    </xf>
    <xf numFmtId="164" fontId="0" fillId="4" borderId="33" xfId="0" applyNumberFormat="1" applyFill="1" applyBorder="1" applyAlignment="1">
      <alignment horizontal="center" vertical="center"/>
    </xf>
    <xf numFmtId="164" fontId="0" fillId="4" borderId="34" xfId="0" applyNumberFormat="1" applyFill="1" applyBorder="1" applyAlignment="1">
      <alignment horizontal="center" vertical="center"/>
    </xf>
    <xf numFmtId="164" fontId="0" fillId="4" borderId="35" xfId="0" applyNumberForma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20" fontId="0" fillId="4" borderId="11" xfId="0" applyNumberFormat="1" applyFill="1" applyBorder="1" applyAlignment="1">
      <alignment horizontal="center" vertical="center"/>
    </xf>
    <xf numFmtId="20" fontId="0" fillId="4" borderId="12" xfId="0" applyNumberFormat="1" applyFill="1" applyBorder="1" applyAlignment="1">
      <alignment horizontal="center" vertical="center"/>
    </xf>
    <xf numFmtId="20" fontId="0" fillId="4" borderId="13" xfId="0" applyNumberForma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20" fontId="0" fillId="5" borderId="6" xfId="0" applyNumberForma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1" fontId="0" fillId="5" borderId="21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32" xfId="0" applyNumberFormat="1" applyFill="1" applyBorder="1" applyAlignment="1">
      <alignment horizontal="center" vertical="center"/>
    </xf>
    <xf numFmtId="164" fontId="2" fillId="5" borderId="22" xfId="0" applyNumberFormat="1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2" fontId="0" fillId="5" borderId="11" xfId="0" applyNumberFormat="1" applyFill="1" applyBorder="1" applyAlignment="1">
      <alignment horizontal="center"/>
    </xf>
    <xf numFmtId="0" fontId="0" fillId="5" borderId="3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5" borderId="36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20" fontId="0" fillId="5" borderId="7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1" fontId="0" fillId="5" borderId="23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33" xfId="0" applyNumberFormat="1" applyFill="1" applyBorder="1" applyAlignment="1">
      <alignment horizontal="center" vertical="center"/>
    </xf>
    <xf numFmtId="164" fontId="2" fillId="5" borderId="24" xfId="0" applyNumberFormat="1" applyFont="1" applyFill="1" applyBorder="1" applyAlignment="1">
      <alignment horizontal="center" vertical="center"/>
    </xf>
    <xf numFmtId="164" fontId="2" fillId="5" borderId="7" xfId="0" applyNumberFormat="1" applyFon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/>
    </xf>
    <xf numFmtId="0" fontId="0" fillId="5" borderId="39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20" fontId="0" fillId="5" borderId="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1" fontId="0" fillId="5" borderId="25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34" xfId="0" applyNumberFormat="1" applyFill="1" applyBorder="1" applyAlignment="1">
      <alignment horizontal="center" vertical="center"/>
    </xf>
    <xf numFmtId="164" fontId="2" fillId="5" borderId="26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/>
    </xf>
    <xf numFmtId="0" fontId="0" fillId="5" borderId="40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5" borderId="37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1" fontId="0" fillId="5" borderId="27" xfId="0" applyNumberForma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35" xfId="0" applyNumberFormat="1" applyFill="1" applyBorder="1" applyAlignment="1">
      <alignment horizontal="center" vertical="center"/>
    </xf>
    <xf numFmtId="164" fontId="2" fillId="5" borderId="28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1" fontId="0" fillId="5" borderId="29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30" xfId="0" applyNumberFormat="1" applyFill="1" applyBorder="1" applyAlignment="1">
      <alignment horizontal="center" vertical="center"/>
    </xf>
    <xf numFmtId="164" fontId="2" fillId="5" borderId="31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0" fontId="0" fillId="5" borderId="9" xfId="0" applyNumberFormat="1" applyFill="1" applyBorder="1" applyAlignment="1">
      <alignment horizontal="center" vertical="center"/>
    </xf>
    <xf numFmtId="20" fontId="0" fillId="5" borderId="10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28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F54F-94BC-4A03-95EF-43EC18DB9E91}">
  <dimension ref="A1:CG97"/>
  <sheetViews>
    <sheetView workbookViewId="0">
      <selection activeCell="M98" sqref="M98"/>
    </sheetView>
  </sheetViews>
  <sheetFormatPr baseColWidth="10" defaultRowHeight="15" x14ac:dyDescent="0.25"/>
  <cols>
    <col min="1" max="1" width="14.140625" bestFit="1" customWidth="1"/>
    <col min="2" max="2" width="7.85546875" bestFit="1" customWidth="1"/>
    <col min="3" max="3" width="14" bestFit="1" customWidth="1"/>
    <col min="4" max="4" width="12.7109375" bestFit="1" customWidth="1"/>
    <col min="5" max="5" width="9.28515625" bestFit="1" customWidth="1"/>
    <col min="6" max="6" width="13.5703125" bestFit="1" customWidth="1"/>
    <col min="7" max="7" width="13.42578125" bestFit="1" customWidth="1"/>
    <col min="8" max="8" width="10.7109375" bestFit="1" customWidth="1"/>
    <col min="9" max="9" width="6.42578125" bestFit="1" customWidth="1"/>
    <col min="10" max="10" width="22.140625" bestFit="1" customWidth="1"/>
    <col min="11" max="11" width="7" bestFit="1" customWidth="1"/>
    <col min="12" max="12" width="7.5703125" bestFit="1" customWidth="1"/>
    <col min="13" max="13" width="12.140625" bestFit="1" customWidth="1"/>
    <col min="14" max="14" width="9.7109375" bestFit="1" customWidth="1"/>
    <col min="15" max="15" width="5" bestFit="1" customWidth="1"/>
    <col min="16" max="16" width="8.5703125" bestFit="1" customWidth="1"/>
    <col min="17" max="17" width="10.28515625" bestFit="1" customWidth="1"/>
    <col min="18" max="18" width="10" bestFit="1" customWidth="1"/>
    <col min="19" max="19" width="9.85546875" bestFit="1" customWidth="1"/>
    <col min="20" max="20" width="16.140625" bestFit="1" customWidth="1"/>
    <col min="21" max="21" width="13.28515625" bestFit="1" customWidth="1"/>
    <col min="22" max="22" width="13" bestFit="1" customWidth="1"/>
    <col min="23" max="23" width="19.7109375" bestFit="1" customWidth="1"/>
    <col min="24" max="24" width="8" bestFit="1" customWidth="1"/>
    <col min="25" max="25" width="6" bestFit="1" customWidth="1"/>
    <col min="26" max="26" width="5" bestFit="1" customWidth="1"/>
    <col min="27" max="29" width="6" bestFit="1" customWidth="1"/>
    <col min="30" max="30" width="9" bestFit="1" customWidth="1"/>
    <col min="31" max="31" width="7" bestFit="1" customWidth="1"/>
    <col min="32" max="35" width="6" bestFit="1" customWidth="1"/>
    <col min="36" max="36" width="7" bestFit="1" customWidth="1"/>
    <col min="37" max="37" width="5" bestFit="1" customWidth="1"/>
    <col min="38" max="38" width="11.28515625" bestFit="1" customWidth="1"/>
    <col min="39" max="40" width="6" bestFit="1" customWidth="1"/>
    <col min="41" max="41" width="8" bestFit="1" customWidth="1"/>
    <col min="42" max="42" width="11.28515625" bestFit="1" customWidth="1"/>
    <col min="43" max="78" width="17.85546875" customWidth="1"/>
    <col min="79" max="79" width="14.28515625" bestFit="1" customWidth="1"/>
    <col min="80" max="80" width="4.5703125" bestFit="1" customWidth="1"/>
    <col min="81" max="81" width="6.5703125" bestFit="1" customWidth="1"/>
    <col min="82" max="82" width="7.5703125" bestFit="1" customWidth="1"/>
    <col min="83" max="85" width="5.5703125" bestFit="1" customWidth="1"/>
  </cols>
  <sheetData>
    <row r="1" spans="1:85" ht="15.75" thickBot="1" x14ac:dyDescent="0.3">
      <c r="A1" t="s">
        <v>0</v>
      </c>
      <c r="B1" t="s">
        <v>11</v>
      </c>
      <c r="C1" t="s">
        <v>12</v>
      </c>
      <c r="D1" t="s">
        <v>13</v>
      </c>
      <c r="E1" t="s">
        <v>1</v>
      </c>
      <c r="F1" t="s">
        <v>3</v>
      </c>
      <c r="G1" t="s">
        <v>4</v>
      </c>
      <c r="H1" t="s">
        <v>2</v>
      </c>
      <c r="I1" t="s">
        <v>180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181</v>
      </c>
      <c r="AQ1" t="s">
        <v>47</v>
      </c>
      <c r="AR1" t="s">
        <v>215</v>
      </c>
      <c r="AS1" t="s">
        <v>216</v>
      </c>
      <c r="AT1" t="s">
        <v>217</v>
      </c>
      <c r="AU1" t="s">
        <v>218</v>
      </c>
      <c r="AV1" t="s">
        <v>219</v>
      </c>
      <c r="AW1" t="s">
        <v>220</v>
      </c>
      <c r="AX1" t="s">
        <v>242</v>
      </c>
      <c r="AY1" t="s">
        <v>221</v>
      </c>
      <c r="AZ1" t="s">
        <v>243</v>
      </c>
      <c r="BA1" t="s">
        <v>244</v>
      </c>
      <c r="BB1" t="s">
        <v>245</v>
      </c>
      <c r="BC1" t="s">
        <v>222</v>
      </c>
      <c r="BD1" t="s">
        <v>223</v>
      </c>
      <c r="BE1" t="s">
        <v>224</v>
      </c>
      <c r="BF1" t="s">
        <v>225</v>
      </c>
      <c r="BG1" t="s">
        <v>226</v>
      </c>
      <c r="BH1" t="s">
        <v>227</v>
      </c>
      <c r="BI1" t="s">
        <v>228</v>
      </c>
      <c r="BJ1" t="s">
        <v>246</v>
      </c>
      <c r="BK1" t="s">
        <v>229</v>
      </c>
      <c r="BL1" t="s">
        <v>247</v>
      </c>
      <c r="BM1" t="s">
        <v>248</v>
      </c>
      <c r="BN1" t="s">
        <v>230</v>
      </c>
      <c r="BO1" t="s">
        <v>231</v>
      </c>
      <c r="BP1" t="s">
        <v>232</v>
      </c>
      <c r="BQ1" t="s">
        <v>233</v>
      </c>
      <c r="BR1" t="s">
        <v>234</v>
      </c>
      <c r="BS1" t="s">
        <v>235</v>
      </c>
      <c r="BT1" t="s">
        <v>249</v>
      </c>
      <c r="BU1" t="s">
        <v>236</v>
      </c>
      <c r="BV1" t="s">
        <v>237</v>
      </c>
      <c r="BW1" t="s">
        <v>238</v>
      </c>
      <c r="BX1" t="s">
        <v>239</v>
      </c>
      <c r="BY1" t="s">
        <v>240</v>
      </c>
      <c r="BZ1" t="s">
        <v>241</v>
      </c>
      <c r="CA1" t="s">
        <v>40</v>
      </c>
      <c r="CB1" t="s">
        <v>41</v>
      </c>
      <c r="CC1" t="s">
        <v>42</v>
      </c>
      <c r="CD1" t="s">
        <v>43</v>
      </c>
      <c r="CE1" t="s">
        <v>44</v>
      </c>
      <c r="CF1" t="s">
        <v>45</v>
      </c>
      <c r="CG1" t="s">
        <v>46</v>
      </c>
    </row>
    <row r="2" spans="1:85" s="1" customFormat="1" x14ac:dyDescent="0.25">
      <c r="A2" s="1" t="s">
        <v>48</v>
      </c>
      <c r="B2" s="1" t="s">
        <v>64</v>
      </c>
      <c r="C2" s="1" t="s">
        <v>85</v>
      </c>
      <c r="D2" s="1" t="s">
        <v>82</v>
      </c>
      <c r="E2" s="1">
        <v>1</v>
      </c>
      <c r="F2" s="2" t="s">
        <v>161</v>
      </c>
      <c r="G2" s="2" t="s">
        <v>162</v>
      </c>
      <c r="H2" s="3">
        <v>44167</v>
      </c>
      <c r="I2" s="4">
        <v>0.3611111111111111</v>
      </c>
      <c r="J2" s="5">
        <v>6.2</v>
      </c>
      <c r="K2" s="6">
        <v>7.407</v>
      </c>
      <c r="L2" s="7">
        <v>0.5</v>
      </c>
      <c r="M2" s="2">
        <v>1.2290000000000001</v>
      </c>
      <c r="N2" s="7">
        <v>-19.5</v>
      </c>
      <c r="O2" s="7">
        <v>6.3</v>
      </c>
      <c r="P2" s="8">
        <v>1269457454.9306219</v>
      </c>
      <c r="Q2" s="9">
        <v>0.73333333333333328</v>
      </c>
      <c r="R2" s="10">
        <v>0.7416666666666667</v>
      </c>
      <c r="S2" s="10">
        <v>0.21666666666666667</v>
      </c>
      <c r="T2" s="11">
        <v>1.9555555555555557</v>
      </c>
      <c r="U2" s="12">
        <v>5.5615615615615637</v>
      </c>
      <c r="V2" s="10">
        <v>23.805191209446534</v>
      </c>
      <c r="W2" s="13">
        <f>U2/(U2+V2)*100</f>
        <v>18.938292581848323</v>
      </c>
      <c r="X2" s="14">
        <v>6763.3197539739604</v>
      </c>
      <c r="Y2" s="15">
        <v>10.733445163351707</v>
      </c>
      <c r="Z2" s="15">
        <v>8.7067657161115114E-2</v>
      </c>
      <c r="AA2" s="15">
        <v>9.0583513060148579</v>
      </c>
      <c r="AB2" s="15">
        <v>26.289240354660915</v>
      </c>
      <c r="AC2" s="15">
        <v>11.118479910535987</v>
      </c>
      <c r="AD2" s="15">
        <v>19054.816678648454</v>
      </c>
      <c r="AE2" s="15">
        <v>390.10304337407143</v>
      </c>
      <c r="AF2" s="15">
        <v>20.400790797987064</v>
      </c>
      <c r="AG2" s="15">
        <v>34.287882418723541</v>
      </c>
      <c r="AH2" s="15">
        <v>1.6978193146417448</v>
      </c>
      <c r="AI2" s="15">
        <v>32.452072849269115</v>
      </c>
      <c r="AJ2" s="15">
        <v>89.53211119098971</v>
      </c>
      <c r="AK2" s="16">
        <v>6.37031711798067E-2</v>
      </c>
      <c r="AL2" s="17">
        <v>0.03</v>
      </c>
      <c r="AM2" s="17">
        <v>0.49</v>
      </c>
      <c r="AN2" s="17">
        <v>1.75</v>
      </c>
      <c r="AO2" s="17">
        <v>401.49</v>
      </c>
      <c r="AP2" s="17">
        <v>150.51</v>
      </c>
      <c r="AQ2" s="18">
        <v>29.511799488428316</v>
      </c>
      <c r="AR2" s="312" t="s">
        <v>250</v>
      </c>
      <c r="AS2" s="312" t="s">
        <v>251</v>
      </c>
      <c r="AT2" s="312" t="s">
        <v>252</v>
      </c>
      <c r="AU2" s="312" t="s">
        <v>253</v>
      </c>
      <c r="AV2" s="312" t="s">
        <v>254</v>
      </c>
      <c r="AW2" s="312" t="s">
        <v>255</v>
      </c>
      <c r="AX2" s="312" t="s">
        <v>256</v>
      </c>
      <c r="AY2" s="312" t="s">
        <v>257</v>
      </c>
      <c r="AZ2" s="312" t="s">
        <v>258</v>
      </c>
      <c r="BA2" s="312" t="s">
        <v>259</v>
      </c>
      <c r="BB2" s="312" t="s">
        <v>260</v>
      </c>
      <c r="BC2" s="312" t="s">
        <v>261</v>
      </c>
      <c r="BD2" s="312" t="s">
        <v>262</v>
      </c>
      <c r="BE2" s="312" t="s">
        <v>263</v>
      </c>
      <c r="BF2" s="312" t="s">
        <v>262</v>
      </c>
      <c r="BG2" s="312" t="s">
        <v>264</v>
      </c>
      <c r="BH2" s="312" t="s">
        <v>265</v>
      </c>
      <c r="BI2" s="312" t="s">
        <v>261</v>
      </c>
      <c r="BJ2" s="312" t="s">
        <v>250</v>
      </c>
      <c r="BK2" s="312" t="s">
        <v>264</v>
      </c>
      <c r="BL2" s="312" t="s">
        <v>266</v>
      </c>
      <c r="BM2" s="312" t="s">
        <v>267</v>
      </c>
      <c r="BN2" s="312" t="s">
        <v>266</v>
      </c>
      <c r="BO2" s="312" t="s">
        <v>268</v>
      </c>
      <c r="BP2" s="312" t="s">
        <v>264</v>
      </c>
      <c r="BQ2" s="312" t="s">
        <v>265</v>
      </c>
      <c r="BR2" s="312" t="s">
        <v>269</v>
      </c>
      <c r="BS2" s="312" t="s">
        <v>264</v>
      </c>
      <c r="BT2" s="312" t="s">
        <v>270</v>
      </c>
      <c r="BU2" s="312" t="s">
        <v>271</v>
      </c>
      <c r="BV2" s="312" t="s">
        <v>272</v>
      </c>
      <c r="BW2" s="312" t="s">
        <v>273</v>
      </c>
      <c r="BX2" s="312" t="s">
        <v>274</v>
      </c>
      <c r="BY2" s="312" t="s">
        <v>275</v>
      </c>
      <c r="BZ2" s="313">
        <v>2.5999999999999999E-2</v>
      </c>
      <c r="CA2" s="1">
        <v>61.254648699180692</v>
      </c>
      <c r="CB2" s="14">
        <v>3.569</v>
      </c>
      <c r="CC2" s="15">
        <v>113.444</v>
      </c>
      <c r="CD2" s="16">
        <v>1012.508</v>
      </c>
      <c r="CE2" s="14">
        <v>3.9232509999999996</v>
      </c>
      <c r="CF2" s="15">
        <v>38.433541000000005</v>
      </c>
      <c r="CG2" s="16">
        <v>57.643208999999992</v>
      </c>
    </row>
    <row r="3" spans="1:85" s="1" customFormat="1" x14ac:dyDescent="0.25">
      <c r="A3" s="1" t="s">
        <v>49</v>
      </c>
      <c r="B3" s="1" t="s">
        <v>64</v>
      </c>
      <c r="C3" s="1" t="s">
        <v>85</v>
      </c>
      <c r="D3" s="1" t="s">
        <v>82</v>
      </c>
      <c r="E3" s="1">
        <v>2</v>
      </c>
      <c r="F3" s="19" t="s">
        <v>161</v>
      </c>
      <c r="G3" s="19" t="s">
        <v>162</v>
      </c>
      <c r="H3" s="20">
        <v>44167</v>
      </c>
      <c r="I3" s="21">
        <v>0.3743055555555555</v>
      </c>
      <c r="J3" s="22">
        <v>6.2</v>
      </c>
      <c r="K3" s="23">
        <v>7.5720000000000001</v>
      </c>
      <c r="L3" s="24">
        <v>0.5</v>
      </c>
      <c r="M3" s="19">
        <v>1.2529999999999999</v>
      </c>
      <c r="N3" s="24">
        <v>-28.7</v>
      </c>
      <c r="O3" s="24">
        <v>8.4</v>
      </c>
      <c r="P3" s="25">
        <v>679105635.41997671</v>
      </c>
      <c r="Q3" s="26">
        <v>0.7</v>
      </c>
      <c r="R3" s="27">
        <v>0.8666666666666667</v>
      </c>
      <c r="S3" s="27">
        <v>2.0333333333333332</v>
      </c>
      <c r="T3" s="28">
        <v>3.9888888888833334</v>
      </c>
      <c r="U3" s="29">
        <v>3.4146341463414638</v>
      </c>
      <c r="V3" s="27">
        <v>14.130526107692686</v>
      </c>
      <c r="W3" s="30">
        <f>U3/(U3+V3)*100</f>
        <v>19.46197183098592</v>
      </c>
      <c r="X3" s="31">
        <v>6624.3500342617599</v>
      </c>
      <c r="Y3" s="32">
        <v>7.7854810754161807</v>
      </c>
      <c r="Z3" s="32">
        <v>5.7237292917892695E-2</v>
      </c>
      <c r="AA3" s="32">
        <v>8.2114152122213717</v>
      </c>
      <c r="AB3" s="32">
        <v>22.281228586400101</v>
      </c>
      <c r="AC3" s="32">
        <v>10.457958805272282</v>
      </c>
      <c r="AD3" s="32">
        <v>17619.170462332218</v>
      </c>
      <c r="AE3" s="32">
        <v>390.5135233181507</v>
      </c>
      <c r="AF3" s="32">
        <v>18.357108307469066</v>
      </c>
      <c r="AG3" s="32">
        <v>34.846225160224115</v>
      </c>
      <c r="AH3" s="32">
        <v>1.2584142851384579</v>
      </c>
      <c r="AI3" s="32">
        <v>25.770889596517392</v>
      </c>
      <c r="AJ3" s="32">
        <v>72.508162360433715</v>
      </c>
      <c r="AK3" s="30">
        <v>5.4617275988552545E-2</v>
      </c>
      <c r="AL3" s="33">
        <v>0.03</v>
      </c>
      <c r="AM3" s="33">
        <v>0.52</v>
      </c>
      <c r="AN3" s="33">
        <v>1.82</v>
      </c>
      <c r="AO3" s="33">
        <v>404.13</v>
      </c>
      <c r="AP3" s="33">
        <v>199</v>
      </c>
      <c r="AQ3" s="34">
        <v>32.660733078022403</v>
      </c>
      <c r="AR3" s="312" t="s">
        <v>250</v>
      </c>
      <c r="AS3" s="312" t="s">
        <v>251</v>
      </c>
      <c r="AT3" s="312" t="s">
        <v>252</v>
      </c>
      <c r="AU3" s="312" t="s">
        <v>253</v>
      </c>
      <c r="AV3" s="312" t="s">
        <v>254</v>
      </c>
      <c r="AW3" s="312" t="s">
        <v>255</v>
      </c>
      <c r="AX3" s="312" t="s">
        <v>256</v>
      </c>
      <c r="AY3" s="312" t="s">
        <v>257</v>
      </c>
      <c r="AZ3" s="312" t="s">
        <v>258</v>
      </c>
      <c r="BA3" s="312" t="s">
        <v>259</v>
      </c>
      <c r="BB3" s="312" t="s">
        <v>260</v>
      </c>
      <c r="BC3" s="312" t="s">
        <v>261</v>
      </c>
      <c r="BD3" s="312" t="s">
        <v>262</v>
      </c>
      <c r="BE3" s="312" t="s">
        <v>263</v>
      </c>
      <c r="BF3" s="312" t="s">
        <v>262</v>
      </c>
      <c r="BG3" s="312" t="s">
        <v>264</v>
      </c>
      <c r="BH3" s="312" t="s">
        <v>265</v>
      </c>
      <c r="BI3" s="312" t="s">
        <v>261</v>
      </c>
      <c r="BJ3" s="312" t="s">
        <v>250</v>
      </c>
      <c r="BK3" s="312" t="s">
        <v>264</v>
      </c>
      <c r="BL3" s="312" t="s">
        <v>266</v>
      </c>
      <c r="BM3" s="312" t="s">
        <v>267</v>
      </c>
      <c r="BN3" s="312" t="s">
        <v>266</v>
      </c>
      <c r="BO3" s="312" t="s">
        <v>268</v>
      </c>
      <c r="BP3" s="312" t="s">
        <v>264</v>
      </c>
      <c r="BQ3" s="312" t="s">
        <v>265</v>
      </c>
      <c r="BR3" s="312" t="s">
        <v>269</v>
      </c>
      <c r="BS3" s="312" t="s">
        <v>264</v>
      </c>
      <c r="BT3" s="312" t="s">
        <v>270</v>
      </c>
      <c r="BU3" s="312" t="s">
        <v>271</v>
      </c>
      <c r="BV3" s="312" t="s">
        <v>272</v>
      </c>
      <c r="BW3" s="312" t="s">
        <v>273</v>
      </c>
      <c r="BX3" s="312" t="s">
        <v>274</v>
      </c>
      <c r="BY3" s="312" t="s">
        <v>275</v>
      </c>
      <c r="BZ3" s="313">
        <v>2.5999999999999999E-2</v>
      </c>
      <c r="CA3" s="1">
        <v>46.677321078419908</v>
      </c>
      <c r="CB3" s="31">
        <v>2.0030000000000001</v>
      </c>
      <c r="CC3" s="32">
        <v>8.423</v>
      </c>
      <c r="CD3" s="30">
        <v>44.289000000000001</v>
      </c>
      <c r="CE3" s="31">
        <v>8.3317110000000003</v>
      </c>
      <c r="CF3" s="32">
        <v>82.054847999999978</v>
      </c>
      <c r="CG3" s="30">
        <v>9.6134419999999992</v>
      </c>
    </row>
    <row r="4" spans="1:85" s="1" customFormat="1" ht="15.75" thickBot="1" x14ac:dyDescent="0.3">
      <c r="A4" s="1" t="s">
        <v>50</v>
      </c>
      <c r="B4" s="1" t="s">
        <v>64</v>
      </c>
      <c r="C4" s="1" t="s">
        <v>85</v>
      </c>
      <c r="D4" s="1" t="s">
        <v>82</v>
      </c>
      <c r="E4" s="1">
        <v>3</v>
      </c>
      <c r="F4" s="35" t="s">
        <v>161</v>
      </c>
      <c r="G4" s="35" t="s">
        <v>162</v>
      </c>
      <c r="H4" s="36">
        <v>44167</v>
      </c>
      <c r="I4" s="37">
        <v>0.37777777777777777</v>
      </c>
      <c r="J4" s="38">
        <v>6.4</v>
      </c>
      <c r="K4" s="39">
        <v>7.4039999999999999</v>
      </c>
      <c r="L4" s="40">
        <v>0.6</v>
      </c>
      <c r="M4" s="35">
        <v>1.218</v>
      </c>
      <c r="N4" s="40">
        <v>-19.2</v>
      </c>
      <c r="O4" s="40">
        <v>6.3</v>
      </c>
      <c r="P4" s="41">
        <v>487048105.07361507</v>
      </c>
      <c r="Q4" s="42">
        <v>4.1333333333333337</v>
      </c>
      <c r="R4" s="43">
        <v>1.4</v>
      </c>
      <c r="S4" s="43">
        <v>2.2666666666666666</v>
      </c>
      <c r="T4" s="44">
        <v>9.8444444444444432</v>
      </c>
      <c r="U4" s="45">
        <v>19.737142857142857</v>
      </c>
      <c r="V4" s="43">
        <v>20.94023447676944</v>
      </c>
      <c r="W4" s="46">
        <f>U4/(U4+V4)*100</f>
        <v>48.52117847993167</v>
      </c>
      <c r="X4" s="47">
        <v>6462.7048408363153</v>
      </c>
      <c r="Y4" s="48">
        <v>7.1143341495573562</v>
      </c>
      <c r="Z4" s="48">
        <v>7.176492748163496E-2</v>
      </c>
      <c r="AA4" s="48">
        <v>9.017272556036918</v>
      </c>
      <c r="AB4" s="48">
        <v>26.617818798267091</v>
      </c>
      <c r="AC4" s="48">
        <v>10.311188547749104</v>
      </c>
      <c r="AD4" s="48">
        <v>18829.911471086834</v>
      </c>
      <c r="AE4" s="48">
        <v>396.56620832548504</v>
      </c>
      <c r="AF4" s="48">
        <v>20.157468449802224</v>
      </c>
      <c r="AG4" s="48">
        <v>32.925221322282916</v>
      </c>
      <c r="AH4" s="48">
        <v>1.5665850442644567</v>
      </c>
      <c r="AI4" s="48">
        <v>31.377848935769446</v>
      </c>
      <c r="AJ4" s="48">
        <v>82.510453946129203</v>
      </c>
      <c r="AK4" s="46">
        <v>5.7072895083819929E-2</v>
      </c>
      <c r="AL4" s="49">
        <v>0.01</v>
      </c>
      <c r="AM4" s="49">
        <v>3.09</v>
      </c>
      <c r="AN4" s="49">
        <v>1.37</v>
      </c>
      <c r="AO4" s="49">
        <v>448.72</v>
      </c>
      <c r="AP4" s="49">
        <v>170.92</v>
      </c>
      <c r="AQ4" s="50">
        <v>23.690862254900374</v>
      </c>
      <c r="AR4" s="312" t="s">
        <v>250</v>
      </c>
      <c r="AS4" s="312" t="s">
        <v>251</v>
      </c>
      <c r="AT4" s="312" t="s">
        <v>252</v>
      </c>
      <c r="AU4" s="312" t="s">
        <v>253</v>
      </c>
      <c r="AV4" s="312" t="s">
        <v>254</v>
      </c>
      <c r="AW4" s="312" t="s">
        <v>255</v>
      </c>
      <c r="AX4" s="312" t="s">
        <v>256</v>
      </c>
      <c r="AY4" s="312" t="s">
        <v>257</v>
      </c>
      <c r="AZ4" s="312" t="s">
        <v>258</v>
      </c>
      <c r="BA4" s="312" t="s">
        <v>259</v>
      </c>
      <c r="BB4" s="312" t="s">
        <v>260</v>
      </c>
      <c r="BC4" s="312" t="s">
        <v>261</v>
      </c>
      <c r="BD4" s="312" t="s">
        <v>262</v>
      </c>
      <c r="BE4" s="312" t="s">
        <v>263</v>
      </c>
      <c r="BF4" s="312" t="s">
        <v>262</v>
      </c>
      <c r="BG4" s="312" t="s">
        <v>264</v>
      </c>
      <c r="BH4" s="312" t="s">
        <v>265</v>
      </c>
      <c r="BI4" s="312" t="s">
        <v>261</v>
      </c>
      <c r="BJ4" s="312" t="s">
        <v>250</v>
      </c>
      <c r="BK4" s="312" t="s">
        <v>264</v>
      </c>
      <c r="BL4" s="312" t="s">
        <v>266</v>
      </c>
      <c r="BM4" s="312" t="s">
        <v>267</v>
      </c>
      <c r="BN4" s="312" t="s">
        <v>266</v>
      </c>
      <c r="BO4" s="312" t="s">
        <v>268</v>
      </c>
      <c r="BP4" s="312" t="s">
        <v>264</v>
      </c>
      <c r="BQ4" s="312" t="s">
        <v>265</v>
      </c>
      <c r="BR4" s="312" t="s">
        <v>269</v>
      </c>
      <c r="BS4" s="312" t="s">
        <v>264</v>
      </c>
      <c r="BT4" s="312" t="s">
        <v>270</v>
      </c>
      <c r="BU4" s="312" t="s">
        <v>271</v>
      </c>
      <c r="BV4" s="312" t="s">
        <v>272</v>
      </c>
      <c r="BW4" s="312" t="s">
        <v>273</v>
      </c>
      <c r="BX4" s="312" t="s">
        <v>274</v>
      </c>
      <c r="BY4" s="312" t="s">
        <v>275</v>
      </c>
      <c r="BZ4" s="313">
        <v>2.5999999999999999E-2</v>
      </c>
      <c r="CA4" s="1">
        <v>63.770702250263369</v>
      </c>
      <c r="CB4" s="51">
        <v>1.831</v>
      </c>
      <c r="CC4" s="52">
        <v>8.9849999999999994</v>
      </c>
      <c r="CD4" s="53">
        <v>168.178</v>
      </c>
      <c r="CE4" s="51">
        <v>9.6838829999999998</v>
      </c>
      <c r="CF4" s="52">
        <v>69.547775000000001</v>
      </c>
      <c r="CG4" s="53">
        <v>20.768342999999994</v>
      </c>
    </row>
    <row r="5" spans="1:85" s="1" customFormat="1" x14ac:dyDescent="0.25">
      <c r="A5" s="1" t="s">
        <v>51</v>
      </c>
      <c r="B5" s="1" t="s">
        <v>81</v>
      </c>
      <c r="C5" s="1" t="s">
        <v>85</v>
      </c>
      <c r="D5" s="1" t="s">
        <v>83</v>
      </c>
      <c r="E5" s="1">
        <v>1</v>
      </c>
      <c r="F5" s="2" t="s">
        <v>163</v>
      </c>
      <c r="G5" s="2" t="s">
        <v>164</v>
      </c>
      <c r="H5" s="3">
        <v>44168</v>
      </c>
      <c r="I5" s="4">
        <v>0.41666666666666669</v>
      </c>
      <c r="J5" s="5">
        <v>7.2</v>
      </c>
      <c r="K5" s="6">
        <v>7.2960000000000003</v>
      </c>
      <c r="L5" s="7">
        <v>2.5</v>
      </c>
      <c r="M5" s="2">
        <v>4.68</v>
      </c>
      <c r="N5" s="7">
        <v>-13.6</v>
      </c>
      <c r="O5" s="7">
        <v>15</v>
      </c>
      <c r="P5" s="8">
        <v>871322652.26141286</v>
      </c>
      <c r="Q5" s="9">
        <v>4</v>
      </c>
      <c r="R5" s="10">
        <v>24.666666666666668</v>
      </c>
      <c r="S5" s="10">
        <v>1.1333333333333333</v>
      </c>
      <c r="T5" s="11">
        <v>33</v>
      </c>
      <c r="U5" s="12">
        <v>14.743589743589746</v>
      </c>
      <c r="V5" s="10">
        <v>50.722858701582112</v>
      </c>
      <c r="W5" s="13">
        <f t="shared" ref="W5:W68" si="0">U5/(U5+V5)*100</f>
        <v>22.520833333333332</v>
      </c>
      <c r="X5" s="14">
        <v>6989.0352576520736</v>
      </c>
      <c r="Y5" s="15">
        <v>19.680937621077106</v>
      </c>
      <c r="Z5" s="15">
        <v>8.0976365749709428E-2</v>
      </c>
      <c r="AA5" s="15">
        <v>12.631363812475787</v>
      </c>
      <c r="AB5" s="15">
        <v>31.562572646261138</v>
      </c>
      <c r="AC5" s="15">
        <v>14.703080201472298</v>
      </c>
      <c r="AD5" s="15">
        <v>24678.419217357612</v>
      </c>
      <c r="AE5" s="15">
        <v>621.97210383572258</v>
      </c>
      <c r="AF5" s="15">
        <v>25.75029058504456</v>
      </c>
      <c r="AG5" s="15">
        <v>43.800852382797366</v>
      </c>
      <c r="AH5" s="15">
        <v>1.5889190236342503</v>
      </c>
      <c r="AI5" s="15">
        <v>44.953118946144912</v>
      </c>
      <c r="AJ5" s="15">
        <v>95.902944595118171</v>
      </c>
      <c r="AK5" s="16">
        <v>6.9740410693529639E-2</v>
      </c>
      <c r="AL5" s="17">
        <v>0.03</v>
      </c>
      <c r="AM5" s="17">
        <v>0.23</v>
      </c>
      <c r="AN5" s="17">
        <v>4.5999999999999996</v>
      </c>
      <c r="AO5" s="17">
        <v>359.04</v>
      </c>
      <c r="AP5" s="17">
        <v>236.44</v>
      </c>
      <c r="AQ5" s="18">
        <v>41.181217761179823</v>
      </c>
      <c r="AR5" s="312" t="s">
        <v>276</v>
      </c>
      <c r="AS5" s="312" t="s">
        <v>277</v>
      </c>
      <c r="AT5" s="312" t="s">
        <v>278</v>
      </c>
      <c r="AU5" s="312" t="s">
        <v>279</v>
      </c>
      <c r="AV5" s="312" t="s">
        <v>276</v>
      </c>
      <c r="AW5" s="312" t="s">
        <v>280</v>
      </c>
      <c r="AX5" s="312" t="s">
        <v>281</v>
      </c>
      <c r="AY5" s="312" t="s">
        <v>267</v>
      </c>
      <c r="AZ5" s="312" t="s">
        <v>282</v>
      </c>
      <c r="BA5" s="312" t="s">
        <v>273</v>
      </c>
      <c r="BB5" s="312" t="s">
        <v>283</v>
      </c>
      <c r="BC5" s="312" t="s">
        <v>261</v>
      </c>
      <c r="BD5" s="312" t="s">
        <v>284</v>
      </c>
      <c r="BE5" s="312" t="s">
        <v>263</v>
      </c>
      <c r="BF5" s="312" t="s">
        <v>262</v>
      </c>
      <c r="BG5" s="312" t="s">
        <v>271</v>
      </c>
      <c r="BH5" s="312" t="s">
        <v>285</v>
      </c>
      <c r="BI5" s="312" t="s">
        <v>261</v>
      </c>
      <c r="BJ5" s="312" t="s">
        <v>264</v>
      </c>
      <c r="BK5" s="312" t="s">
        <v>271</v>
      </c>
      <c r="BL5" s="312" t="s">
        <v>286</v>
      </c>
      <c r="BM5" s="312" t="s">
        <v>264</v>
      </c>
      <c r="BN5" s="313">
        <v>3.3000000000000002E-2</v>
      </c>
      <c r="BO5" s="312" t="s">
        <v>274</v>
      </c>
      <c r="BP5" s="312" t="s">
        <v>254</v>
      </c>
      <c r="BQ5" s="312" t="s">
        <v>273</v>
      </c>
      <c r="BR5" s="312" t="s">
        <v>254</v>
      </c>
      <c r="BS5" s="312" t="s">
        <v>264</v>
      </c>
      <c r="BT5" s="312" t="s">
        <v>272</v>
      </c>
      <c r="BU5" s="312" t="s">
        <v>271</v>
      </c>
      <c r="BV5" s="312" t="s">
        <v>287</v>
      </c>
      <c r="BW5" s="312" t="s">
        <v>265</v>
      </c>
      <c r="BX5" s="312" t="s">
        <v>254</v>
      </c>
      <c r="BY5" s="312" t="s">
        <v>288</v>
      </c>
      <c r="BZ5" s="312" t="s">
        <v>289</v>
      </c>
      <c r="CA5" s="1">
        <v>66.387626294688076</v>
      </c>
      <c r="CB5" s="54">
        <v>1.9930000000000001</v>
      </c>
      <c r="CC5" s="55">
        <v>9.4909999999999997</v>
      </c>
      <c r="CD5" s="13">
        <v>51.856999999999999</v>
      </c>
      <c r="CE5" s="54">
        <v>8.4126799999999999</v>
      </c>
      <c r="CF5" s="55">
        <v>80.168641000000008</v>
      </c>
      <c r="CG5" s="13">
        <v>11.418678</v>
      </c>
    </row>
    <row r="6" spans="1:85" s="1" customFormat="1" x14ac:dyDescent="0.25">
      <c r="A6" s="1" t="s">
        <v>52</v>
      </c>
      <c r="B6" s="1" t="s">
        <v>81</v>
      </c>
      <c r="C6" s="1" t="s">
        <v>85</v>
      </c>
      <c r="D6" s="1" t="s">
        <v>83</v>
      </c>
      <c r="E6" s="1">
        <v>2</v>
      </c>
      <c r="F6" s="19" t="s">
        <v>163</v>
      </c>
      <c r="G6" s="19" t="s">
        <v>164</v>
      </c>
      <c r="H6" s="20">
        <v>44168</v>
      </c>
      <c r="I6" s="21">
        <v>0.42708333333333331</v>
      </c>
      <c r="J6" s="22">
        <v>7.6</v>
      </c>
      <c r="K6" s="23">
        <v>7.343</v>
      </c>
      <c r="L6" s="24">
        <v>2.4</v>
      </c>
      <c r="M6" s="19">
        <v>4.63</v>
      </c>
      <c r="N6" s="24">
        <v>-16</v>
      </c>
      <c r="O6" s="24">
        <v>16</v>
      </c>
      <c r="P6" s="25">
        <v>700889774.38830626</v>
      </c>
      <c r="Q6" s="26">
        <v>5.333333333333333</v>
      </c>
      <c r="R6" s="27">
        <v>19.666666666666668</v>
      </c>
      <c r="S6" s="27">
        <v>1.8</v>
      </c>
      <c r="T6" s="28">
        <v>28.888888888888886</v>
      </c>
      <c r="U6" s="29">
        <v>21.414141414141415</v>
      </c>
      <c r="V6" s="27">
        <v>51.31586039387458</v>
      </c>
      <c r="W6" s="30">
        <f t="shared" si="0"/>
        <v>29.443339587242022</v>
      </c>
      <c r="X6" s="31">
        <v>6584.936306894916</v>
      </c>
      <c r="Y6" s="32">
        <v>19.344088768843307</v>
      </c>
      <c r="Z6" s="32">
        <v>8.030076285724716E-2</v>
      </c>
      <c r="AA6" s="32">
        <v>12.203452932802861</v>
      </c>
      <c r="AB6" s="32">
        <v>29.808920684746507</v>
      </c>
      <c r="AC6" s="32">
        <v>13.995127203708437</v>
      </c>
      <c r="AD6" s="32">
        <v>23400.73730700442</v>
      </c>
      <c r="AE6" s="32">
        <v>656.19228382669644</v>
      </c>
      <c r="AF6" s="32">
        <v>24.646311639960579</v>
      </c>
      <c r="AG6" s="32">
        <v>42.249151366937994</v>
      </c>
      <c r="AH6" s="32">
        <v>1.4591013614629342</v>
      </c>
      <c r="AI6" s="32">
        <v>43.237580757017192</v>
      </c>
      <c r="AJ6" s="32">
        <v>91.401978318794036</v>
      </c>
      <c r="AK6" s="30">
        <v>6.5518122422163011E-2</v>
      </c>
      <c r="AL6" s="33">
        <v>0.11</v>
      </c>
      <c r="AM6" s="33">
        <v>0.2</v>
      </c>
      <c r="AN6" s="33">
        <v>3.73</v>
      </c>
      <c r="AO6" s="33">
        <v>344.12</v>
      </c>
      <c r="AP6" s="33">
        <v>243.68</v>
      </c>
      <c r="AQ6" s="34">
        <v>24.602564103037547</v>
      </c>
      <c r="AR6" s="312" t="s">
        <v>276</v>
      </c>
      <c r="AS6" s="312" t="s">
        <v>277</v>
      </c>
      <c r="AT6" s="312" t="s">
        <v>278</v>
      </c>
      <c r="AU6" s="312" t="s">
        <v>279</v>
      </c>
      <c r="AV6" s="312" t="s">
        <v>276</v>
      </c>
      <c r="AW6" s="312" t="s">
        <v>280</v>
      </c>
      <c r="AX6" s="312" t="s">
        <v>281</v>
      </c>
      <c r="AY6" s="312" t="s">
        <v>267</v>
      </c>
      <c r="AZ6" s="312" t="s">
        <v>282</v>
      </c>
      <c r="BA6" s="312" t="s">
        <v>273</v>
      </c>
      <c r="BB6" s="312" t="s">
        <v>283</v>
      </c>
      <c r="BC6" s="312" t="s">
        <v>261</v>
      </c>
      <c r="BD6" s="312" t="s">
        <v>284</v>
      </c>
      <c r="BE6" s="312" t="s">
        <v>263</v>
      </c>
      <c r="BF6" s="312" t="s">
        <v>262</v>
      </c>
      <c r="BG6" s="312" t="s">
        <v>271</v>
      </c>
      <c r="BH6" s="312" t="s">
        <v>285</v>
      </c>
      <c r="BI6" s="312" t="s">
        <v>261</v>
      </c>
      <c r="BJ6" s="312" t="s">
        <v>264</v>
      </c>
      <c r="BK6" s="312" t="s">
        <v>271</v>
      </c>
      <c r="BL6" s="312" t="s">
        <v>286</v>
      </c>
      <c r="BM6" s="312" t="s">
        <v>264</v>
      </c>
      <c r="BN6" s="313">
        <v>3.3000000000000002E-2</v>
      </c>
      <c r="BO6" s="312" t="s">
        <v>274</v>
      </c>
      <c r="BP6" s="312" t="s">
        <v>254</v>
      </c>
      <c r="BQ6" s="312" t="s">
        <v>273</v>
      </c>
      <c r="BR6" s="312" t="s">
        <v>254</v>
      </c>
      <c r="BS6" s="312" t="s">
        <v>264</v>
      </c>
      <c r="BT6" s="312" t="s">
        <v>272</v>
      </c>
      <c r="BU6" s="312" t="s">
        <v>271</v>
      </c>
      <c r="BV6" s="312" t="s">
        <v>287</v>
      </c>
      <c r="BW6" s="312" t="s">
        <v>265</v>
      </c>
      <c r="BX6" s="312" t="s">
        <v>254</v>
      </c>
      <c r="BY6" s="312" t="s">
        <v>288</v>
      </c>
      <c r="BZ6" s="312" t="s">
        <v>289</v>
      </c>
      <c r="CA6" s="1">
        <v>67.788984909067466</v>
      </c>
      <c r="CB6" s="31">
        <v>2.073</v>
      </c>
      <c r="CC6" s="32">
        <v>8.4459999999999997</v>
      </c>
      <c r="CD6" s="30">
        <v>84.945999999999998</v>
      </c>
      <c r="CE6" s="31">
        <v>7.8165000000000004</v>
      </c>
      <c r="CF6" s="32">
        <v>77.493976000000004</v>
      </c>
      <c r="CG6" s="30">
        <v>14.689522999999996</v>
      </c>
    </row>
    <row r="7" spans="1:85" s="1" customFormat="1" ht="15.75" thickBot="1" x14ac:dyDescent="0.3">
      <c r="A7" s="1" t="s">
        <v>53</v>
      </c>
      <c r="B7" s="1" t="s">
        <v>81</v>
      </c>
      <c r="C7" s="1" t="s">
        <v>85</v>
      </c>
      <c r="D7" s="1" t="s">
        <v>83</v>
      </c>
      <c r="E7" s="1">
        <v>3</v>
      </c>
      <c r="F7" s="35" t="s">
        <v>163</v>
      </c>
      <c r="G7" s="35" t="s">
        <v>164</v>
      </c>
      <c r="H7" s="36">
        <v>44168</v>
      </c>
      <c r="I7" s="37">
        <v>0.43402777777777773</v>
      </c>
      <c r="J7" s="38">
        <v>7.5</v>
      </c>
      <c r="K7" s="39">
        <v>7.1909999999999998</v>
      </c>
      <c r="L7" s="40">
        <v>2.4</v>
      </c>
      <c r="M7" s="35">
        <v>4.53</v>
      </c>
      <c r="N7" s="40">
        <v>-7.7</v>
      </c>
      <c r="O7" s="40">
        <v>17</v>
      </c>
      <c r="P7" s="41">
        <v>1136237883.2750769</v>
      </c>
      <c r="Q7" s="42">
        <v>2.7333333333333334</v>
      </c>
      <c r="R7" s="43">
        <v>21.933333333333334</v>
      </c>
      <c r="S7" s="43">
        <v>1.6666666666666667</v>
      </c>
      <c r="T7" s="44">
        <v>28.866666666666667</v>
      </c>
      <c r="U7" s="45">
        <v>15.736131934032976</v>
      </c>
      <c r="V7" s="43">
        <v>60.286646950081206</v>
      </c>
      <c r="W7" s="46">
        <f t="shared" si="0"/>
        <v>20.699232736572874</v>
      </c>
      <c r="X7" s="51">
        <v>4317.9674699276666</v>
      </c>
      <c r="Y7" s="52">
        <v>20.66898453422851</v>
      </c>
      <c r="Z7" s="52">
        <v>8.8318746752987259E-2</v>
      </c>
      <c r="AA7" s="52">
        <v>11.976381728809496</v>
      </c>
      <c r="AB7" s="52">
        <v>31.050633417256122</v>
      </c>
      <c r="AC7" s="52">
        <v>14.0337289693482</v>
      </c>
      <c r="AD7" s="52">
        <v>24973.424449506456</v>
      </c>
      <c r="AE7" s="52">
        <v>621.18051392718701</v>
      </c>
      <c r="AF7" s="52">
        <v>24.971026655476962</v>
      </c>
      <c r="AG7" s="52">
        <v>44.119410142668748</v>
      </c>
      <c r="AH7" s="52">
        <v>1.5467769651920233</v>
      </c>
      <c r="AI7" s="52">
        <v>44.084642129241104</v>
      </c>
      <c r="AJ7" s="52">
        <v>97.393198257603004</v>
      </c>
      <c r="AK7" s="53">
        <v>7.3532350237781235E-2</v>
      </c>
      <c r="AL7" s="56">
        <v>0.03</v>
      </c>
      <c r="AM7" s="56">
        <v>0.13</v>
      </c>
      <c r="AN7" s="56">
        <v>4.1399999999999997</v>
      </c>
      <c r="AO7" s="56">
        <v>451.89</v>
      </c>
      <c r="AP7" s="56">
        <v>340.53</v>
      </c>
      <c r="AQ7" s="57">
        <v>34.23691285846369</v>
      </c>
      <c r="AR7" s="312" t="s">
        <v>276</v>
      </c>
      <c r="AS7" s="312" t="s">
        <v>277</v>
      </c>
      <c r="AT7" s="312" t="s">
        <v>278</v>
      </c>
      <c r="AU7" s="312" t="s">
        <v>279</v>
      </c>
      <c r="AV7" s="312" t="s">
        <v>276</v>
      </c>
      <c r="AW7" s="312" t="s">
        <v>280</v>
      </c>
      <c r="AX7" s="312" t="s">
        <v>281</v>
      </c>
      <c r="AY7" s="312" t="s">
        <v>267</v>
      </c>
      <c r="AZ7" s="312" t="s">
        <v>282</v>
      </c>
      <c r="BA7" s="312" t="s">
        <v>273</v>
      </c>
      <c r="BB7" s="312" t="s">
        <v>283</v>
      </c>
      <c r="BC7" s="312" t="s">
        <v>261</v>
      </c>
      <c r="BD7" s="312" t="s">
        <v>284</v>
      </c>
      <c r="BE7" s="312" t="s">
        <v>263</v>
      </c>
      <c r="BF7" s="312" t="s">
        <v>262</v>
      </c>
      <c r="BG7" s="312" t="s">
        <v>271</v>
      </c>
      <c r="BH7" s="312" t="s">
        <v>285</v>
      </c>
      <c r="BI7" s="312" t="s">
        <v>261</v>
      </c>
      <c r="BJ7" s="312" t="s">
        <v>264</v>
      </c>
      <c r="BK7" s="312" t="s">
        <v>271</v>
      </c>
      <c r="BL7" s="312" t="s">
        <v>286</v>
      </c>
      <c r="BM7" s="312" t="s">
        <v>264</v>
      </c>
      <c r="BN7" s="313">
        <v>3.3000000000000002E-2</v>
      </c>
      <c r="BO7" s="312" t="s">
        <v>274</v>
      </c>
      <c r="BP7" s="312" t="s">
        <v>254</v>
      </c>
      <c r="BQ7" s="312" t="s">
        <v>273</v>
      </c>
      <c r="BR7" s="312" t="s">
        <v>254</v>
      </c>
      <c r="BS7" s="312" t="s">
        <v>264</v>
      </c>
      <c r="BT7" s="312" t="s">
        <v>272</v>
      </c>
      <c r="BU7" s="312" t="s">
        <v>271</v>
      </c>
      <c r="BV7" s="312" t="s">
        <v>287</v>
      </c>
      <c r="BW7" s="312" t="s">
        <v>265</v>
      </c>
      <c r="BX7" s="312" t="s">
        <v>254</v>
      </c>
      <c r="BY7" s="312" t="s">
        <v>288</v>
      </c>
      <c r="BZ7" s="312" t="s">
        <v>289</v>
      </c>
      <c r="CA7" s="1">
        <v>67.67485241635066</v>
      </c>
      <c r="CB7" s="47">
        <v>1.8180000000000001</v>
      </c>
      <c r="CC7" s="48">
        <v>7.6</v>
      </c>
      <c r="CD7" s="46">
        <v>39.042999999999999</v>
      </c>
      <c r="CE7" s="47">
        <v>9.7887599999999999</v>
      </c>
      <c r="CF7" s="48">
        <v>81.750907999999995</v>
      </c>
      <c r="CG7" s="46">
        <v>8.4603329999999985</v>
      </c>
    </row>
    <row r="8" spans="1:85" s="1" customFormat="1" x14ac:dyDescent="0.25">
      <c r="A8" s="1" t="s">
        <v>54</v>
      </c>
      <c r="B8" s="1" t="s">
        <v>75</v>
      </c>
      <c r="C8" s="1" t="s">
        <v>85</v>
      </c>
      <c r="D8" s="1" t="s">
        <v>84</v>
      </c>
      <c r="E8" s="1">
        <v>1</v>
      </c>
      <c r="F8" s="2" t="s">
        <v>165</v>
      </c>
      <c r="G8" s="2" t="s">
        <v>166</v>
      </c>
      <c r="H8" s="3">
        <v>44162</v>
      </c>
      <c r="I8" s="4">
        <v>0.3888888888888889</v>
      </c>
      <c r="J8" s="5">
        <v>10.3</v>
      </c>
      <c r="K8" s="6">
        <v>7.6630000000000003</v>
      </c>
      <c r="L8" s="7">
        <v>33.700000000000003</v>
      </c>
      <c r="M8" s="2">
        <v>52</v>
      </c>
      <c r="N8" s="7">
        <v>-34.1</v>
      </c>
      <c r="O8" s="7">
        <v>6.9</v>
      </c>
      <c r="P8" s="8">
        <v>1720970091.0273085</v>
      </c>
      <c r="Q8" s="9">
        <v>43.333333333333336</v>
      </c>
      <c r="R8" s="10">
        <v>4.8</v>
      </c>
      <c r="S8" s="10">
        <v>3.7333333333333334</v>
      </c>
      <c r="T8" s="11">
        <v>52.533333333333331</v>
      </c>
      <c r="U8" s="12">
        <v>8.6777408637873723</v>
      </c>
      <c r="V8" s="10">
        <v>10.01038752957888</v>
      </c>
      <c r="W8" s="13">
        <f t="shared" si="0"/>
        <v>46.434510086455319</v>
      </c>
      <c r="X8" s="54">
        <v>4022.9424897990602</v>
      </c>
      <c r="Y8" s="55">
        <v>7.9451843867888208</v>
      </c>
      <c r="Z8" s="55">
        <v>8.6419277850488876E-2</v>
      </c>
      <c r="AA8" s="55">
        <v>4.309319424128109</v>
      </c>
      <c r="AB8" s="55">
        <v>13.562244976518592</v>
      </c>
      <c r="AC8" s="55">
        <v>6.4935714835630147</v>
      </c>
      <c r="AD8" s="55">
        <v>10281.96935868812</v>
      </c>
      <c r="AE8" s="55">
        <v>148.76530140888445</v>
      </c>
      <c r="AF8" s="55">
        <v>8.4551543613827089</v>
      </c>
      <c r="AG8" s="55">
        <v>15.823004080375702</v>
      </c>
      <c r="AH8" s="55">
        <v>1.0864962660712911</v>
      </c>
      <c r="AI8" s="55">
        <v>19.154861806143661</v>
      </c>
      <c r="AJ8" s="55">
        <v>92.092924782508291</v>
      </c>
      <c r="AK8" s="13">
        <v>4.022634536915852E-2</v>
      </c>
      <c r="AL8" s="58">
        <v>0</v>
      </c>
      <c r="AM8" s="58">
        <v>0.85</v>
      </c>
      <c r="AN8" s="58">
        <v>16.86</v>
      </c>
      <c r="AO8" s="58">
        <v>242.46</v>
      </c>
      <c r="AP8" s="58">
        <v>208.32</v>
      </c>
      <c r="AQ8" s="59">
        <v>39.612334904175754</v>
      </c>
      <c r="AR8" s="313">
        <v>8.9999999999999993E-3</v>
      </c>
      <c r="AS8" s="312" t="s">
        <v>290</v>
      </c>
      <c r="AT8" s="312" t="s">
        <v>291</v>
      </c>
      <c r="AU8" s="312" t="s">
        <v>292</v>
      </c>
      <c r="AV8" s="312" t="s">
        <v>293</v>
      </c>
      <c r="AW8" s="312" t="s">
        <v>294</v>
      </c>
      <c r="AX8" s="312" t="s">
        <v>295</v>
      </c>
      <c r="AY8" s="312" t="s">
        <v>257</v>
      </c>
      <c r="AZ8" s="312" t="s">
        <v>296</v>
      </c>
      <c r="BA8" s="312" t="s">
        <v>297</v>
      </c>
      <c r="BB8" s="312" t="s">
        <v>298</v>
      </c>
      <c r="BC8" s="312" t="s">
        <v>261</v>
      </c>
      <c r="BD8" s="312" t="s">
        <v>299</v>
      </c>
      <c r="BE8" s="312" t="s">
        <v>300</v>
      </c>
      <c r="BF8" s="313">
        <v>6.8000000000000005E-2</v>
      </c>
      <c r="BG8" s="312" t="s">
        <v>264</v>
      </c>
      <c r="BH8" s="312" t="s">
        <v>268</v>
      </c>
      <c r="BI8" s="312" t="s">
        <v>261</v>
      </c>
      <c r="BJ8" s="312" t="s">
        <v>267</v>
      </c>
      <c r="BK8" s="312" t="s">
        <v>264</v>
      </c>
      <c r="BL8" s="312" t="s">
        <v>301</v>
      </c>
      <c r="BM8" s="312" t="s">
        <v>267</v>
      </c>
      <c r="BN8" s="312" t="s">
        <v>302</v>
      </c>
      <c r="BO8" s="312" t="s">
        <v>303</v>
      </c>
      <c r="BP8" s="313">
        <v>0.01</v>
      </c>
      <c r="BQ8" s="312" t="s">
        <v>268</v>
      </c>
      <c r="BR8" s="312" t="s">
        <v>254</v>
      </c>
      <c r="BS8" s="312" t="s">
        <v>250</v>
      </c>
      <c r="BT8" s="312" t="s">
        <v>302</v>
      </c>
      <c r="BU8" s="313">
        <v>0.03</v>
      </c>
      <c r="BV8" s="312" t="s">
        <v>269</v>
      </c>
      <c r="BW8" s="312" t="s">
        <v>265</v>
      </c>
      <c r="BX8" s="312" t="s">
        <v>304</v>
      </c>
      <c r="BY8" s="312" t="s">
        <v>305</v>
      </c>
      <c r="BZ8" s="312" t="s">
        <v>254</v>
      </c>
      <c r="CA8" s="1">
        <v>43.367648039271359</v>
      </c>
      <c r="CB8" s="14">
        <v>2.4860000000000002</v>
      </c>
      <c r="CC8" s="15">
        <v>10.581</v>
      </c>
      <c r="CD8" s="16">
        <v>133.86500000000001</v>
      </c>
      <c r="CE8" s="14">
        <v>5.7698309999999999</v>
      </c>
      <c r="CF8" s="15">
        <v>68.995127999999994</v>
      </c>
      <c r="CG8" s="16">
        <v>25.235039999999998</v>
      </c>
    </row>
    <row r="9" spans="1:85" s="1" customFormat="1" x14ac:dyDescent="0.25">
      <c r="A9" s="1" t="s">
        <v>55</v>
      </c>
      <c r="B9" s="1" t="s">
        <v>75</v>
      </c>
      <c r="C9" s="1" t="s">
        <v>85</v>
      </c>
      <c r="D9" s="1" t="s">
        <v>84</v>
      </c>
      <c r="E9" s="1">
        <v>2</v>
      </c>
      <c r="F9" s="19" t="s">
        <v>165</v>
      </c>
      <c r="G9" s="19" t="s">
        <v>166</v>
      </c>
      <c r="H9" s="20">
        <v>44162</v>
      </c>
      <c r="I9" s="21">
        <v>0.39930555555555558</v>
      </c>
      <c r="J9" s="22">
        <v>10.3</v>
      </c>
      <c r="K9" s="23">
        <v>7.7210000000000001</v>
      </c>
      <c r="L9" s="24">
        <v>25.6</v>
      </c>
      <c r="M9" s="19">
        <v>40.6</v>
      </c>
      <c r="N9" s="24">
        <v>-37.299999999999997</v>
      </c>
      <c r="O9" s="24">
        <v>8.6999999999999993</v>
      </c>
      <c r="P9" s="25">
        <v>895174252.27568281</v>
      </c>
      <c r="Q9" s="26">
        <v>19.600000000000001</v>
      </c>
      <c r="R9" s="27">
        <v>0.66666666666666663</v>
      </c>
      <c r="S9" s="27">
        <v>2.5333333333333332</v>
      </c>
      <c r="T9" s="28">
        <v>23.733333333333334</v>
      </c>
      <c r="U9" s="29">
        <v>3.7350993377483452</v>
      </c>
      <c r="V9" s="27">
        <v>2.478122882237296</v>
      </c>
      <c r="W9" s="30">
        <f t="shared" si="0"/>
        <v>60.115334773218152</v>
      </c>
      <c r="X9" s="31">
        <v>3445.5165436354778</v>
      </c>
      <c r="Y9" s="32">
        <v>8.1238055982313497</v>
      </c>
      <c r="Z9" s="32">
        <v>3.4473713793232663E-2</v>
      </c>
      <c r="AA9" s="32">
        <v>3.236894368044366</v>
      </c>
      <c r="AB9" s="32">
        <v>8.9922621501105429</v>
      </c>
      <c r="AC9" s="32">
        <v>4.5007306928467052</v>
      </c>
      <c r="AD9" s="32">
        <v>9092.6668415333315</v>
      </c>
      <c r="AE9" s="32">
        <v>123.32914902386929</v>
      </c>
      <c r="AF9" s="32">
        <v>6.1514220406939719</v>
      </c>
      <c r="AG9" s="32">
        <v>10.92666841533331</v>
      </c>
      <c r="AH9" s="32">
        <v>0.64750627646419612</v>
      </c>
      <c r="AI9" s="32">
        <v>15.326095102484357</v>
      </c>
      <c r="AJ9" s="32">
        <v>30.239067710870465</v>
      </c>
      <c r="AK9" s="30">
        <v>2.5667928204743888E-2</v>
      </c>
      <c r="AL9" s="33">
        <v>0.41</v>
      </c>
      <c r="AM9" s="33">
        <v>1.54</v>
      </c>
      <c r="AN9" s="33">
        <v>6.26</v>
      </c>
      <c r="AO9" s="33">
        <v>67.599999999999994</v>
      </c>
      <c r="AP9" s="33">
        <v>155.63999999999999</v>
      </c>
      <c r="AQ9" s="34">
        <v>40.359541291176036</v>
      </c>
      <c r="AR9" s="313">
        <v>8.9999999999999993E-3</v>
      </c>
      <c r="AS9" s="312" t="s">
        <v>290</v>
      </c>
      <c r="AT9" s="312" t="s">
        <v>291</v>
      </c>
      <c r="AU9" s="312" t="s">
        <v>292</v>
      </c>
      <c r="AV9" s="312" t="s">
        <v>293</v>
      </c>
      <c r="AW9" s="312" t="s">
        <v>294</v>
      </c>
      <c r="AX9" s="312" t="s">
        <v>295</v>
      </c>
      <c r="AY9" s="312" t="s">
        <v>257</v>
      </c>
      <c r="AZ9" s="312" t="s">
        <v>296</v>
      </c>
      <c r="BA9" s="312" t="s">
        <v>297</v>
      </c>
      <c r="BB9" s="312" t="s">
        <v>298</v>
      </c>
      <c r="BC9" s="312" t="s">
        <v>261</v>
      </c>
      <c r="BD9" s="312" t="s">
        <v>299</v>
      </c>
      <c r="BE9" s="312" t="s">
        <v>300</v>
      </c>
      <c r="BF9" s="313">
        <v>6.8000000000000005E-2</v>
      </c>
      <c r="BG9" s="312" t="s">
        <v>264</v>
      </c>
      <c r="BH9" s="312" t="s">
        <v>268</v>
      </c>
      <c r="BI9" s="312" t="s">
        <v>261</v>
      </c>
      <c r="BJ9" s="312" t="s">
        <v>267</v>
      </c>
      <c r="BK9" s="312" t="s">
        <v>264</v>
      </c>
      <c r="BL9" s="312" t="s">
        <v>301</v>
      </c>
      <c r="BM9" s="312" t="s">
        <v>267</v>
      </c>
      <c r="BN9" s="312" t="s">
        <v>302</v>
      </c>
      <c r="BO9" s="312" t="s">
        <v>303</v>
      </c>
      <c r="BP9" s="313">
        <v>0.01</v>
      </c>
      <c r="BQ9" s="312" t="s">
        <v>268</v>
      </c>
      <c r="BR9" s="312" t="s">
        <v>254</v>
      </c>
      <c r="BS9" s="312" t="s">
        <v>250</v>
      </c>
      <c r="BT9" s="312" t="s">
        <v>302</v>
      </c>
      <c r="BU9" s="313">
        <v>0.03</v>
      </c>
      <c r="BV9" s="312" t="s">
        <v>269</v>
      </c>
      <c r="BW9" s="312" t="s">
        <v>265</v>
      </c>
      <c r="BX9" s="312" t="s">
        <v>304</v>
      </c>
      <c r="BY9" s="312" t="s">
        <v>305</v>
      </c>
      <c r="BZ9" s="312" t="s">
        <v>254</v>
      </c>
      <c r="CA9" s="1">
        <v>31.438474793831656</v>
      </c>
      <c r="CB9" s="31">
        <v>2.1789999999999998</v>
      </c>
      <c r="CC9" s="32">
        <v>10.157</v>
      </c>
      <c r="CD9" s="30">
        <v>121.43899999999999</v>
      </c>
      <c r="CE9" s="31">
        <v>7.2951819999999996</v>
      </c>
      <c r="CF9" s="32">
        <v>66.364940000000004</v>
      </c>
      <c r="CG9" s="30">
        <v>26.339876000000004</v>
      </c>
    </row>
    <row r="10" spans="1:85" s="1" customFormat="1" ht="15.75" thickBot="1" x14ac:dyDescent="0.3">
      <c r="A10" s="1" t="s">
        <v>56</v>
      </c>
      <c r="B10" s="1" t="s">
        <v>75</v>
      </c>
      <c r="C10" s="1" t="s">
        <v>85</v>
      </c>
      <c r="D10" s="1" t="s">
        <v>84</v>
      </c>
      <c r="E10" s="1">
        <v>3</v>
      </c>
      <c r="F10" s="35" t="s">
        <v>165</v>
      </c>
      <c r="G10" s="35" t="s">
        <v>166</v>
      </c>
      <c r="H10" s="36">
        <v>44162</v>
      </c>
      <c r="I10" s="37">
        <v>0.40902777777777777</v>
      </c>
      <c r="J10" s="38">
        <v>10.199999999999999</v>
      </c>
      <c r="K10" s="39">
        <v>7.3680000000000003</v>
      </c>
      <c r="L10" s="40">
        <v>34</v>
      </c>
      <c r="M10" s="35">
        <v>52.6</v>
      </c>
      <c r="N10" s="40">
        <v>-17.600000000000001</v>
      </c>
      <c r="O10" s="40">
        <v>14</v>
      </c>
      <c r="P10" s="41">
        <v>2683210143.0429125</v>
      </c>
      <c r="Q10" s="42">
        <v>45.6</v>
      </c>
      <c r="R10" s="43">
        <v>9.3333333333333339</v>
      </c>
      <c r="S10" s="43">
        <v>3.7333333333333334</v>
      </c>
      <c r="T10" s="44">
        <v>60.2</v>
      </c>
      <c r="U10" s="45">
        <v>19.737142857142857</v>
      </c>
      <c r="V10" s="43">
        <v>20.94023447676944</v>
      </c>
      <c r="W10" s="46">
        <f t="shared" si="0"/>
        <v>48.52117847993167</v>
      </c>
      <c r="X10" s="47">
        <v>4657.9741208224177</v>
      </c>
      <c r="Y10" s="48">
        <v>10.750138921965547</v>
      </c>
      <c r="Z10" s="48">
        <v>7.660554100182583E-2</v>
      </c>
      <c r="AA10" s="48">
        <v>4.8811224894816228</v>
      </c>
      <c r="AB10" s="48">
        <v>15.49704294673335</v>
      </c>
      <c r="AC10" s="48">
        <v>7.4514566960387398</v>
      </c>
      <c r="AD10" s="48">
        <v>11924.98213860443</v>
      </c>
      <c r="AE10" s="48">
        <v>171.55235373501628</v>
      </c>
      <c r="AF10" s="48">
        <v>9.9347860601730567</v>
      </c>
      <c r="AG10" s="48">
        <v>17.924902754624117</v>
      </c>
      <c r="AH10" s="48">
        <v>1.0425101214574899</v>
      </c>
      <c r="AI10" s="48">
        <v>22.180479479241093</v>
      </c>
      <c r="AJ10" s="48">
        <v>51.795070254822583</v>
      </c>
      <c r="AK10" s="46">
        <v>4.1875049614987697E-2</v>
      </c>
      <c r="AL10" s="49">
        <v>0</v>
      </c>
      <c r="AM10" s="49">
        <v>1.23</v>
      </c>
      <c r="AN10" s="49">
        <v>74.41</v>
      </c>
      <c r="AO10" s="49">
        <v>345.64</v>
      </c>
      <c r="AP10" s="49">
        <v>668.44</v>
      </c>
      <c r="AQ10" s="50">
        <v>25.190696487983821</v>
      </c>
      <c r="AR10" s="313">
        <v>8.9999999999999993E-3</v>
      </c>
      <c r="AS10" s="312" t="s">
        <v>290</v>
      </c>
      <c r="AT10" s="312" t="s">
        <v>291</v>
      </c>
      <c r="AU10" s="312" t="s">
        <v>292</v>
      </c>
      <c r="AV10" s="312" t="s">
        <v>293</v>
      </c>
      <c r="AW10" s="312" t="s">
        <v>294</v>
      </c>
      <c r="AX10" s="312" t="s">
        <v>295</v>
      </c>
      <c r="AY10" s="312" t="s">
        <v>257</v>
      </c>
      <c r="AZ10" s="312" t="s">
        <v>296</v>
      </c>
      <c r="BA10" s="312" t="s">
        <v>297</v>
      </c>
      <c r="BB10" s="312" t="s">
        <v>298</v>
      </c>
      <c r="BC10" s="312" t="s">
        <v>261</v>
      </c>
      <c r="BD10" s="312" t="s">
        <v>299</v>
      </c>
      <c r="BE10" s="312" t="s">
        <v>300</v>
      </c>
      <c r="BF10" s="313">
        <v>6.8000000000000005E-2</v>
      </c>
      <c r="BG10" s="312" t="s">
        <v>264</v>
      </c>
      <c r="BH10" s="312" t="s">
        <v>268</v>
      </c>
      <c r="BI10" s="312" t="s">
        <v>261</v>
      </c>
      <c r="BJ10" s="312" t="s">
        <v>267</v>
      </c>
      <c r="BK10" s="312" t="s">
        <v>264</v>
      </c>
      <c r="BL10" s="312" t="s">
        <v>301</v>
      </c>
      <c r="BM10" s="312" t="s">
        <v>267</v>
      </c>
      <c r="BN10" s="312" t="s">
        <v>302</v>
      </c>
      <c r="BO10" s="312" t="s">
        <v>303</v>
      </c>
      <c r="BP10" s="313">
        <v>0.01</v>
      </c>
      <c r="BQ10" s="312" t="s">
        <v>268</v>
      </c>
      <c r="BR10" s="312" t="s">
        <v>254</v>
      </c>
      <c r="BS10" s="312" t="s">
        <v>250</v>
      </c>
      <c r="BT10" s="312" t="s">
        <v>302</v>
      </c>
      <c r="BU10" s="313">
        <v>0.03</v>
      </c>
      <c r="BV10" s="312" t="s">
        <v>269</v>
      </c>
      <c r="BW10" s="312" t="s">
        <v>265</v>
      </c>
      <c r="BX10" s="312" t="s">
        <v>304</v>
      </c>
      <c r="BY10" s="312" t="s">
        <v>305</v>
      </c>
      <c r="BZ10" s="312" t="s">
        <v>254</v>
      </c>
      <c r="CA10" s="1">
        <v>48.309988530860295</v>
      </c>
      <c r="CB10" s="51">
        <v>2.3330000000000002</v>
      </c>
      <c r="CC10" s="52">
        <v>14.098000000000001</v>
      </c>
      <c r="CD10" s="53">
        <v>146.066</v>
      </c>
      <c r="CE10" s="51">
        <v>6.6426649999999992</v>
      </c>
      <c r="CF10" s="52">
        <v>59.627681000000003</v>
      </c>
      <c r="CG10" s="53">
        <v>33.729655000000001</v>
      </c>
    </row>
    <row r="11" spans="1:85" s="1" customFormat="1" x14ac:dyDescent="0.25">
      <c r="A11" s="1" t="s">
        <v>57</v>
      </c>
      <c r="B11" s="1" t="s">
        <v>76</v>
      </c>
      <c r="C11" s="1" t="s">
        <v>85</v>
      </c>
      <c r="D11" s="1" t="s">
        <v>83</v>
      </c>
      <c r="E11" s="1">
        <v>1</v>
      </c>
      <c r="F11" s="2" t="s">
        <v>167</v>
      </c>
      <c r="G11" s="2" t="s">
        <v>168</v>
      </c>
      <c r="H11" s="3">
        <v>44162</v>
      </c>
      <c r="I11" s="4">
        <v>0.46180555555555558</v>
      </c>
      <c r="J11" s="5">
        <v>9.1</v>
      </c>
      <c r="K11" s="6">
        <v>7.5380000000000003</v>
      </c>
      <c r="L11" s="7">
        <v>4.2</v>
      </c>
      <c r="M11" s="2">
        <v>7.76</v>
      </c>
      <c r="N11" s="7">
        <v>-27.1</v>
      </c>
      <c r="O11" s="7">
        <v>6.8</v>
      </c>
      <c r="P11" s="8">
        <v>581236931.07932389</v>
      </c>
      <c r="Q11" s="9">
        <v>2.4166666666666665</v>
      </c>
      <c r="R11" s="10">
        <v>0.11666666666666667</v>
      </c>
      <c r="S11" s="10">
        <v>0.18333333333333332</v>
      </c>
      <c r="T11" s="11">
        <v>2.9666666666666668</v>
      </c>
      <c r="U11" s="12">
        <v>7.812041116005874</v>
      </c>
      <c r="V11" s="10">
        <v>34.690566200548396</v>
      </c>
      <c r="W11" s="13">
        <f t="shared" si="0"/>
        <v>18.380145617474099</v>
      </c>
      <c r="X11" s="14">
        <v>6111.0719599091699</v>
      </c>
      <c r="Y11" s="15">
        <v>18.272277033904942</v>
      </c>
      <c r="Z11" s="15">
        <v>9.8465272883877547E-2</v>
      </c>
      <c r="AA11" s="15">
        <v>12.16549213060841</v>
      </c>
      <c r="AB11" s="15">
        <v>33.388928040090832</v>
      </c>
      <c r="AC11" s="15">
        <v>14.967073839166865</v>
      </c>
      <c r="AD11" s="15">
        <v>23963.276172578502</v>
      </c>
      <c r="AE11" s="15">
        <v>579.11479132409363</v>
      </c>
      <c r="AF11" s="15">
        <v>24.541930937279776</v>
      </c>
      <c r="AG11" s="15">
        <v>40.932581630256053</v>
      </c>
      <c r="AH11" s="15">
        <v>1.8718189648422208</v>
      </c>
      <c r="AI11" s="15">
        <v>45.071255187534263</v>
      </c>
      <c r="AJ11" s="15">
        <v>110.19360269360271</v>
      </c>
      <c r="AK11" s="16">
        <v>7.5561819747866271E-2</v>
      </c>
      <c r="AL11" s="17">
        <v>0.14000000000000001</v>
      </c>
      <c r="AM11" s="17">
        <v>0.41199999999999998</v>
      </c>
      <c r="AN11" s="17">
        <v>9.66</v>
      </c>
      <c r="AO11" s="17">
        <v>571.54</v>
      </c>
      <c r="AP11" s="17">
        <v>458.85199999999998</v>
      </c>
      <c r="AQ11" s="18">
        <v>22.985832598593877</v>
      </c>
      <c r="AR11" s="312" t="s">
        <v>250</v>
      </c>
      <c r="AS11" s="312" t="s">
        <v>306</v>
      </c>
      <c r="AT11" s="312" t="s">
        <v>307</v>
      </c>
      <c r="AU11" s="312" t="s">
        <v>308</v>
      </c>
      <c r="AV11" s="312" t="s">
        <v>254</v>
      </c>
      <c r="AW11" s="312" t="s">
        <v>291</v>
      </c>
      <c r="AX11" s="312" t="s">
        <v>309</v>
      </c>
      <c r="AY11" s="312" t="s">
        <v>257</v>
      </c>
      <c r="AZ11" s="312" t="s">
        <v>310</v>
      </c>
      <c r="BA11" s="312" t="s">
        <v>259</v>
      </c>
      <c r="BB11" s="312" t="s">
        <v>311</v>
      </c>
      <c r="BC11" s="312" t="s">
        <v>257</v>
      </c>
      <c r="BD11" s="312" t="s">
        <v>312</v>
      </c>
      <c r="BE11" s="312" t="s">
        <v>262</v>
      </c>
      <c r="BF11" s="313">
        <v>8.2000000000000003E-2</v>
      </c>
      <c r="BG11" s="312" t="s">
        <v>271</v>
      </c>
      <c r="BH11" s="312" t="s">
        <v>285</v>
      </c>
      <c r="BI11" s="312" t="s">
        <v>261</v>
      </c>
      <c r="BJ11" s="312" t="s">
        <v>250</v>
      </c>
      <c r="BK11" s="312" t="s">
        <v>264</v>
      </c>
      <c r="BL11" s="312" t="s">
        <v>313</v>
      </c>
      <c r="BM11" s="312" t="s">
        <v>267</v>
      </c>
      <c r="BN11" s="313">
        <v>0.08</v>
      </c>
      <c r="BO11" s="312" t="s">
        <v>314</v>
      </c>
      <c r="BP11" s="313">
        <v>1.7000000000000001E-2</v>
      </c>
      <c r="BQ11" s="312" t="s">
        <v>285</v>
      </c>
      <c r="BR11" s="312" t="s">
        <v>272</v>
      </c>
      <c r="BS11" s="312" t="s">
        <v>264</v>
      </c>
      <c r="BT11" s="312" t="s">
        <v>315</v>
      </c>
      <c r="BU11" s="313">
        <v>5.2999999999999999E-2</v>
      </c>
      <c r="BV11" s="312" t="s">
        <v>287</v>
      </c>
      <c r="BW11" s="313">
        <v>5.0999999999999997E-2</v>
      </c>
      <c r="BX11" s="312" t="s">
        <v>293</v>
      </c>
      <c r="BY11" s="312" t="s">
        <v>316</v>
      </c>
      <c r="BZ11" s="312" t="s">
        <v>269</v>
      </c>
      <c r="CA11" s="1">
        <v>66.060966315213335</v>
      </c>
      <c r="CB11" s="54">
        <v>1.7609999999999999</v>
      </c>
      <c r="CC11" s="55">
        <v>7.7910000000000004</v>
      </c>
      <c r="CD11" s="13">
        <v>54.716999999999999</v>
      </c>
      <c r="CE11" s="54">
        <v>10.312037</v>
      </c>
      <c r="CF11" s="55">
        <v>78.266147000000004</v>
      </c>
      <c r="CG11" s="13">
        <v>11.421816</v>
      </c>
    </row>
    <row r="12" spans="1:85" s="1" customFormat="1" x14ac:dyDescent="0.25">
      <c r="A12" s="1" t="s">
        <v>58</v>
      </c>
      <c r="B12" s="1" t="s">
        <v>76</v>
      </c>
      <c r="C12" s="1" t="s">
        <v>85</v>
      </c>
      <c r="D12" s="1" t="s">
        <v>83</v>
      </c>
      <c r="E12" s="1">
        <v>2</v>
      </c>
      <c r="F12" s="19" t="s">
        <v>167</v>
      </c>
      <c r="G12" s="19" t="s">
        <v>168</v>
      </c>
      <c r="H12" s="20">
        <v>44162</v>
      </c>
      <c r="I12" s="21">
        <v>0.47291666666666665</v>
      </c>
      <c r="J12" s="22">
        <v>9.4</v>
      </c>
      <c r="K12" s="23">
        <v>7.5110000000000001</v>
      </c>
      <c r="L12" s="24">
        <v>4.0999999999999996</v>
      </c>
      <c r="M12" s="19">
        <v>7.45</v>
      </c>
      <c r="N12" s="24">
        <v>-25.6</v>
      </c>
      <c r="O12" s="24">
        <v>8.4</v>
      </c>
      <c r="P12" s="25">
        <v>498175552.6657998</v>
      </c>
      <c r="Q12" s="26">
        <v>1.2166666666666666</v>
      </c>
      <c r="R12" s="27">
        <v>1.6666666666666666E-2</v>
      </c>
      <c r="S12" s="27">
        <v>3.3333333333333333E-2</v>
      </c>
      <c r="T12" s="28">
        <v>1.411111111111111</v>
      </c>
      <c r="U12" s="29">
        <v>6.4190800681431037</v>
      </c>
      <c r="V12" s="27">
        <v>29.89629061962237</v>
      </c>
      <c r="W12" s="30">
        <f t="shared" si="0"/>
        <v>17.675931558935375</v>
      </c>
      <c r="X12" s="31">
        <v>6325.962261165394</v>
      </c>
      <c r="Y12" s="32">
        <v>18.88488468689426</v>
      </c>
      <c r="Z12" s="32">
        <v>9.9094109735353458E-2</v>
      </c>
      <c r="AA12" s="32">
        <v>12.365817476957158</v>
      </c>
      <c r="AB12" s="32">
        <v>34.138019700146366</v>
      </c>
      <c r="AC12" s="32">
        <v>15.303394121602913</v>
      </c>
      <c r="AD12" s="32">
        <v>24481.783298389968</v>
      </c>
      <c r="AE12" s="32">
        <v>569.3638988884054</v>
      </c>
      <c r="AF12" s="32">
        <v>24.869654654060682</v>
      </c>
      <c r="AG12" s="32">
        <v>42.703429724277072</v>
      </c>
      <c r="AH12" s="32">
        <v>1.7635191265477275</v>
      </c>
      <c r="AI12" s="32">
        <v>44.999011036828989</v>
      </c>
      <c r="AJ12" s="32">
        <v>113.1441117132798</v>
      </c>
      <c r="AK12" s="30">
        <v>8.0699394754539341E-2</v>
      </c>
      <c r="AL12" s="33">
        <v>0.81</v>
      </c>
      <c r="AM12" s="33">
        <v>0.23</v>
      </c>
      <c r="AN12" s="33">
        <v>19.66</v>
      </c>
      <c r="AO12" s="33">
        <v>424.96</v>
      </c>
      <c r="AP12" s="33">
        <v>498.56</v>
      </c>
      <c r="AQ12" s="34">
        <v>35.008845886396983</v>
      </c>
      <c r="AR12" s="312" t="s">
        <v>250</v>
      </c>
      <c r="AS12" s="312" t="s">
        <v>306</v>
      </c>
      <c r="AT12" s="312" t="s">
        <v>307</v>
      </c>
      <c r="AU12" s="312" t="s">
        <v>308</v>
      </c>
      <c r="AV12" s="312" t="s">
        <v>254</v>
      </c>
      <c r="AW12" s="312" t="s">
        <v>291</v>
      </c>
      <c r="AX12" s="312" t="s">
        <v>309</v>
      </c>
      <c r="AY12" s="312" t="s">
        <v>257</v>
      </c>
      <c r="AZ12" s="312" t="s">
        <v>310</v>
      </c>
      <c r="BA12" s="312" t="s">
        <v>259</v>
      </c>
      <c r="BB12" s="312" t="s">
        <v>311</v>
      </c>
      <c r="BC12" s="312" t="s">
        <v>257</v>
      </c>
      <c r="BD12" s="312" t="s">
        <v>312</v>
      </c>
      <c r="BE12" s="312" t="s">
        <v>262</v>
      </c>
      <c r="BF12" s="313">
        <v>8.2000000000000003E-2</v>
      </c>
      <c r="BG12" s="312" t="s">
        <v>271</v>
      </c>
      <c r="BH12" s="312" t="s">
        <v>285</v>
      </c>
      <c r="BI12" s="312" t="s">
        <v>261</v>
      </c>
      <c r="BJ12" s="312" t="s">
        <v>250</v>
      </c>
      <c r="BK12" s="312" t="s">
        <v>264</v>
      </c>
      <c r="BL12" s="312" t="s">
        <v>313</v>
      </c>
      <c r="BM12" s="312" t="s">
        <v>267</v>
      </c>
      <c r="BN12" s="313">
        <v>0.08</v>
      </c>
      <c r="BO12" s="312" t="s">
        <v>314</v>
      </c>
      <c r="BP12" s="313">
        <v>1.7000000000000001E-2</v>
      </c>
      <c r="BQ12" s="312" t="s">
        <v>285</v>
      </c>
      <c r="BR12" s="312" t="s">
        <v>272</v>
      </c>
      <c r="BS12" s="312" t="s">
        <v>264</v>
      </c>
      <c r="BT12" s="312" t="s">
        <v>315</v>
      </c>
      <c r="BU12" s="313">
        <v>5.2999999999999999E-2</v>
      </c>
      <c r="BV12" s="312" t="s">
        <v>287</v>
      </c>
      <c r="BW12" s="313">
        <v>5.0999999999999997E-2</v>
      </c>
      <c r="BX12" s="312" t="s">
        <v>293</v>
      </c>
      <c r="BY12" s="312" t="s">
        <v>316</v>
      </c>
      <c r="BZ12" s="312" t="s">
        <v>269</v>
      </c>
      <c r="CA12" s="1">
        <v>65.149989511222984</v>
      </c>
      <c r="CB12" s="31">
        <v>1.7949999999999999</v>
      </c>
      <c r="CC12" s="32">
        <v>7.11</v>
      </c>
      <c r="CD12" s="30">
        <v>27.463999999999999</v>
      </c>
      <c r="CE12" s="31">
        <v>10.000335</v>
      </c>
      <c r="CF12" s="32">
        <v>85.976727000000011</v>
      </c>
      <c r="CG12" s="30">
        <v>4.0229349999999995</v>
      </c>
    </row>
    <row r="13" spans="1:85" s="1" customFormat="1" ht="15.75" thickBot="1" x14ac:dyDescent="0.3">
      <c r="A13" s="1" t="s">
        <v>59</v>
      </c>
      <c r="B13" s="1" t="s">
        <v>76</v>
      </c>
      <c r="C13" s="1" t="s">
        <v>85</v>
      </c>
      <c r="D13" s="1" t="s">
        <v>83</v>
      </c>
      <c r="E13" s="1">
        <v>3</v>
      </c>
      <c r="F13" s="35" t="s">
        <v>167</v>
      </c>
      <c r="G13" s="35" t="s">
        <v>168</v>
      </c>
      <c r="H13" s="36">
        <v>44162</v>
      </c>
      <c r="I13" s="37">
        <v>0.48194444444444445</v>
      </c>
      <c r="J13" s="38">
        <v>9.5</v>
      </c>
      <c r="K13" s="39">
        <v>7.4450000000000003</v>
      </c>
      <c r="L13" s="40">
        <v>4.3</v>
      </c>
      <c r="M13" s="35">
        <v>7.8</v>
      </c>
      <c r="N13" s="40">
        <v>-21.9</v>
      </c>
      <c r="O13" s="40">
        <v>8.6</v>
      </c>
      <c r="P13" s="41">
        <v>598003381.0143044</v>
      </c>
      <c r="Q13" s="42">
        <v>2.85</v>
      </c>
      <c r="R13" s="43">
        <v>0.18333333333333332</v>
      </c>
      <c r="S13" s="43">
        <v>0.05</v>
      </c>
      <c r="T13" s="44">
        <v>3.3055555555555554</v>
      </c>
      <c r="U13" s="45">
        <v>6.8025477707006337</v>
      </c>
      <c r="V13" s="43">
        <v>30.446014752289315</v>
      </c>
      <c r="W13" s="46">
        <f t="shared" si="0"/>
        <v>18.262577962577957</v>
      </c>
      <c r="X13" s="51">
        <v>6604.7385090141306</v>
      </c>
      <c r="Y13" s="52">
        <v>19.094323534188732</v>
      </c>
      <c r="Z13" s="52">
        <v>0.10821016728926426</v>
      </c>
      <c r="AA13" s="52">
        <v>12.456715933084295</v>
      </c>
      <c r="AB13" s="52">
        <v>34.837583238590227</v>
      </c>
      <c r="AC13" s="52">
        <v>14.959822153646257</v>
      </c>
      <c r="AD13" s="52">
        <v>24582.791944128636</v>
      </c>
      <c r="AE13" s="52">
        <v>584.22527204807545</v>
      </c>
      <c r="AF13" s="52">
        <v>25.488062368036385</v>
      </c>
      <c r="AG13" s="52">
        <v>44.014942342049707</v>
      </c>
      <c r="AH13" s="52">
        <v>1.6838557739158684</v>
      </c>
      <c r="AI13" s="52">
        <v>46.050836446321263</v>
      </c>
      <c r="AJ13" s="52">
        <v>113.01729738509015</v>
      </c>
      <c r="AK13" s="53">
        <v>8.4862757836608751E-2</v>
      </c>
      <c r="AL13" s="56">
        <v>0.66</v>
      </c>
      <c r="AM13" s="56">
        <v>0.28999999999999998</v>
      </c>
      <c r="AN13" s="56">
        <v>12.62</v>
      </c>
      <c r="AO13" s="56">
        <v>539.62</v>
      </c>
      <c r="AP13" s="56">
        <v>507.5</v>
      </c>
      <c r="AQ13" s="57">
        <v>25.104130783492462</v>
      </c>
      <c r="AR13" s="312" t="s">
        <v>250</v>
      </c>
      <c r="AS13" s="312" t="s">
        <v>306</v>
      </c>
      <c r="AT13" s="312" t="s">
        <v>307</v>
      </c>
      <c r="AU13" s="312" t="s">
        <v>308</v>
      </c>
      <c r="AV13" s="312" t="s">
        <v>254</v>
      </c>
      <c r="AW13" s="312" t="s">
        <v>291</v>
      </c>
      <c r="AX13" s="312" t="s">
        <v>309</v>
      </c>
      <c r="AY13" s="312" t="s">
        <v>257</v>
      </c>
      <c r="AZ13" s="312" t="s">
        <v>310</v>
      </c>
      <c r="BA13" s="312" t="s">
        <v>259</v>
      </c>
      <c r="BB13" s="312" t="s">
        <v>311</v>
      </c>
      <c r="BC13" s="312" t="s">
        <v>257</v>
      </c>
      <c r="BD13" s="312" t="s">
        <v>312</v>
      </c>
      <c r="BE13" s="312" t="s">
        <v>262</v>
      </c>
      <c r="BF13" s="313">
        <v>8.2000000000000003E-2</v>
      </c>
      <c r="BG13" s="312" t="s">
        <v>271</v>
      </c>
      <c r="BH13" s="312" t="s">
        <v>285</v>
      </c>
      <c r="BI13" s="312" t="s">
        <v>261</v>
      </c>
      <c r="BJ13" s="312" t="s">
        <v>250</v>
      </c>
      <c r="BK13" s="312" t="s">
        <v>264</v>
      </c>
      <c r="BL13" s="312" t="s">
        <v>313</v>
      </c>
      <c r="BM13" s="312" t="s">
        <v>267</v>
      </c>
      <c r="BN13" s="313">
        <v>0.08</v>
      </c>
      <c r="BO13" s="312" t="s">
        <v>314</v>
      </c>
      <c r="BP13" s="313">
        <v>1.7000000000000001E-2</v>
      </c>
      <c r="BQ13" s="312" t="s">
        <v>285</v>
      </c>
      <c r="BR13" s="312" t="s">
        <v>272</v>
      </c>
      <c r="BS13" s="312" t="s">
        <v>264</v>
      </c>
      <c r="BT13" s="312" t="s">
        <v>315</v>
      </c>
      <c r="BU13" s="313">
        <v>5.2999999999999999E-2</v>
      </c>
      <c r="BV13" s="312" t="s">
        <v>287</v>
      </c>
      <c r="BW13" s="313">
        <v>5.0999999999999997E-2</v>
      </c>
      <c r="BX13" s="312" t="s">
        <v>293</v>
      </c>
      <c r="BY13" s="312" t="s">
        <v>316</v>
      </c>
      <c r="BZ13" s="312" t="s">
        <v>269</v>
      </c>
      <c r="CA13" s="1">
        <v>67.176939202004164</v>
      </c>
      <c r="CB13" s="47">
        <v>1.768</v>
      </c>
      <c r="CC13" s="48">
        <v>8.6890000000000001</v>
      </c>
      <c r="CD13" s="46">
        <v>97.85</v>
      </c>
      <c r="CE13" s="47">
        <v>10.241710999999999</v>
      </c>
      <c r="CF13" s="48">
        <v>73.913160999999988</v>
      </c>
      <c r="CG13" s="46">
        <v>15.845130000000003</v>
      </c>
    </row>
    <row r="14" spans="1:85" s="1" customFormat="1" x14ac:dyDescent="0.25">
      <c r="A14" s="1" t="s">
        <v>61</v>
      </c>
      <c r="B14" s="1" t="s">
        <v>77</v>
      </c>
      <c r="C14" s="1" t="s">
        <v>85</v>
      </c>
      <c r="D14" s="1" t="s">
        <v>84</v>
      </c>
      <c r="E14" s="1">
        <v>1</v>
      </c>
      <c r="F14" s="2" t="s">
        <v>169</v>
      </c>
      <c r="G14" s="2" t="s">
        <v>170</v>
      </c>
      <c r="H14" s="3">
        <v>44165</v>
      </c>
      <c r="I14" s="4">
        <v>0.40625</v>
      </c>
      <c r="J14" s="5">
        <v>5.6</v>
      </c>
      <c r="K14" s="6">
        <v>7.6929999999999996</v>
      </c>
      <c r="L14" s="7">
        <v>32.799999999999997</v>
      </c>
      <c r="M14" s="2">
        <v>50.5</v>
      </c>
      <c r="N14" s="7">
        <v>-35.799999999999997</v>
      </c>
      <c r="O14" s="7">
        <v>14</v>
      </c>
      <c r="P14" s="8">
        <v>1649960000</v>
      </c>
      <c r="Q14" s="9">
        <v>33.466666666666669</v>
      </c>
      <c r="R14" s="10">
        <v>2.1333333333333333</v>
      </c>
      <c r="S14" s="10">
        <v>1.8666666666666667</v>
      </c>
      <c r="T14" s="11">
        <v>39.733333333333334</v>
      </c>
      <c r="U14" s="12">
        <v>6.6646058732612063</v>
      </c>
      <c r="V14" s="10">
        <v>13.216726251156848</v>
      </c>
      <c r="W14" s="13">
        <f t="shared" si="0"/>
        <v>33.521928166351607</v>
      </c>
      <c r="X14" s="54">
        <v>6368.8774079859031</v>
      </c>
      <c r="Y14" s="55">
        <v>12.679362409387641</v>
      </c>
      <c r="Z14" s="55">
        <v>7.649485361848693E-2</v>
      </c>
      <c r="AA14" s="55">
        <v>8.7837518522968487</v>
      </c>
      <c r="AB14" s="55">
        <v>24.05202451039289</v>
      </c>
      <c r="AC14" s="55">
        <v>12.184548840562298</v>
      </c>
      <c r="AD14" s="55">
        <v>18384.416676679084</v>
      </c>
      <c r="AE14" s="55">
        <v>261.54631743361767</v>
      </c>
      <c r="AF14" s="55">
        <v>17.205414714245666</v>
      </c>
      <c r="AG14" s="55">
        <v>36.365092714966558</v>
      </c>
      <c r="AH14" s="55">
        <v>1.3656934598902641</v>
      </c>
      <c r="AI14" s="55">
        <v>31.495254115102732</v>
      </c>
      <c r="AJ14" s="55">
        <v>92.626857303055786</v>
      </c>
      <c r="AK14" s="13">
        <v>6.8685169610316801E-2</v>
      </c>
      <c r="AL14" s="58">
        <v>0</v>
      </c>
      <c r="AM14" s="58">
        <v>1.23</v>
      </c>
      <c r="AN14" s="58">
        <v>7.65</v>
      </c>
      <c r="AO14" s="58">
        <v>125.01</v>
      </c>
      <c r="AP14" s="58">
        <v>105.23</v>
      </c>
      <c r="AQ14" s="59">
        <v>38.001032122530376</v>
      </c>
      <c r="AR14" s="312" t="s">
        <v>250</v>
      </c>
      <c r="AS14" s="312" t="s">
        <v>317</v>
      </c>
      <c r="AT14" s="312" t="s">
        <v>318</v>
      </c>
      <c r="AU14" s="312" t="s">
        <v>319</v>
      </c>
      <c r="AV14" s="312" t="s">
        <v>293</v>
      </c>
      <c r="AW14" s="312" t="s">
        <v>280</v>
      </c>
      <c r="AX14" s="312" t="s">
        <v>320</v>
      </c>
      <c r="AY14" s="312" t="s">
        <v>257</v>
      </c>
      <c r="AZ14" s="312" t="s">
        <v>321</v>
      </c>
      <c r="BA14" s="312" t="s">
        <v>322</v>
      </c>
      <c r="BB14" s="312" t="s">
        <v>323</v>
      </c>
      <c r="BC14" s="312" t="s">
        <v>261</v>
      </c>
      <c r="BD14" s="313">
        <v>6.3E-2</v>
      </c>
      <c r="BE14" s="312" t="s">
        <v>299</v>
      </c>
      <c r="BF14" s="313">
        <v>0.14699999999999999</v>
      </c>
      <c r="BG14" s="312" t="s">
        <v>264</v>
      </c>
      <c r="BH14" s="312" t="s">
        <v>314</v>
      </c>
      <c r="BI14" s="312" t="s">
        <v>261</v>
      </c>
      <c r="BJ14" s="312" t="s">
        <v>250</v>
      </c>
      <c r="BK14" s="312" t="s">
        <v>264</v>
      </c>
      <c r="BL14" s="312" t="s">
        <v>324</v>
      </c>
      <c r="BM14" s="312" t="s">
        <v>267</v>
      </c>
      <c r="BN14" s="313">
        <v>0.14299999999999999</v>
      </c>
      <c r="BO14" s="312" t="s">
        <v>303</v>
      </c>
      <c r="BP14" s="313">
        <v>4.2000000000000003E-2</v>
      </c>
      <c r="BQ14" s="313">
        <v>3.9E-2</v>
      </c>
      <c r="BR14" s="312" t="s">
        <v>269</v>
      </c>
      <c r="BS14" s="312" t="s">
        <v>250</v>
      </c>
      <c r="BT14" s="312" t="s">
        <v>325</v>
      </c>
      <c r="BU14" s="313">
        <v>9.1999999999999998E-2</v>
      </c>
      <c r="BV14" s="312" t="s">
        <v>272</v>
      </c>
      <c r="BW14" s="313">
        <v>0.155</v>
      </c>
      <c r="BX14" s="312" t="s">
        <v>274</v>
      </c>
      <c r="BY14" s="312" t="s">
        <v>326</v>
      </c>
      <c r="BZ14" s="312" t="s">
        <v>254</v>
      </c>
      <c r="CA14" s="1">
        <v>45.313201210243633</v>
      </c>
      <c r="CB14" s="14">
        <v>2.1640000000000001</v>
      </c>
      <c r="CC14" s="15">
        <v>12.18</v>
      </c>
      <c r="CD14" s="16">
        <v>130.864</v>
      </c>
      <c r="CE14" s="14">
        <v>7.3128170000000008</v>
      </c>
      <c r="CF14" s="15">
        <v>63.767314999999989</v>
      </c>
      <c r="CG14" s="16">
        <v>28.919865000000001</v>
      </c>
    </row>
    <row r="15" spans="1:85" s="1" customFormat="1" x14ac:dyDescent="0.25">
      <c r="A15" s="1" t="s">
        <v>62</v>
      </c>
      <c r="B15" s="1" t="s">
        <v>77</v>
      </c>
      <c r="C15" s="1" t="s">
        <v>85</v>
      </c>
      <c r="D15" s="1" t="s">
        <v>84</v>
      </c>
      <c r="E15" s="1">
        <v>2</v>
      </c>
      <c r="F15" s="19" t="s">
        <v>169</v>
      </c>
      <c r="G15" s="19" t="s">
        <v>170</v>
      </c>
      <c r="H15" s="20">
        <v>44165</v>
      </c>
      <c r="I15" s="21">
        <v>0.41319444444444442</v>
      </c>
      <c r="J15" s="22">
        <v>6.2</v>
      </c>
      <c r="K15" s="23">
        <v>7.6639999999999997</v>
      </c>
      <c r="L15" s="24">
        <v>32.299999999999997</v>
      </c>
      <c r="M15" s="19">
        <v>49.8</v>
      </c>
      <c r="N15" s="24">
        <v>-34.1</v>
      </c>
      <c r="O15" s="24">
        <v>11</v>
      </c>
      <c r="P15" s="25">
        <v>1578222608.695652</v>
      </c>
      <c r="Q15" s="26">
        <v>42</v>
      </c>
      <c r="R15" s="27">
        <v>2.5333333333333332</v>
      </c>
      <c r="S15" s="27">
        <v>0.93333333333333335</v>
      </c>
      <c r="T15" s="28">
        <v>49.199999999999996</v>
      </c>
      <c r="U15" s="29">
        <v>8.3977055449330802</v>
      </c>
      <c r="V15" s="27">
        <v>14.368619975552159</v>
      </c>
      <c r="W15" s="30">
        <f t="shared" si="0"/>
        <v>36.886521443158614</v>
      </c>
      <c r="X15" s="31">
        <v>6111.8439077850408</v>
      </c>
      <c r="Y15" s="32">
        <v>10.728756507103997</v>
      </c>
      <c r="Z15" s="32">
        <v>7.3779795686719649E-2</v>
      </c>
      <c r="AA15" s="32">
        <v>7.7608321265020166</v>
      </c>
      <c r="AB15" s="32">
        <v>21.130572625151668</v>
      </c>
      <c r="AC15" s="32">
        <v>11.61757798739677</v>
      </c>
      <c r="AD15" s="32">
        <v>16264.393909742066</v>
      </c>
      <c r="AE15" s="32">
        <v>266.15327410074758</v>
      </c>
      <c r="AF15" s="32">
        <v>15.049140866570122</v>
      </c>
      <c r="AG15" s="32">
        <v>31.018826568554545</v>
      </c>
      <c r="AH15" s="32">
        <v>1.2759794903910133</v>
      </c>
      <c r="AI15" s="32">
        <v>27.884653019687661</v>
      </c>
      <c r="AJ15" s="32">
        <v>78.382911268542813</v>
      </c>
      <c r="AK15" s="30">
        <v>6.4190379271204356E-2</v>
      </c>
      <c r="AL15" s="33">
        <v>0.24</v>
      </c>
      <c r="AM15" s="33">
        <v>0.96</v>
      </c>
      <c r="AN15" s="33">
        <v>5.31</v>
      </c>
      <c r="AO15" s="33">
        <v>99.61</v>
      </c>
      <c r="AP15" s="33">
        <v>93.67</v>
      </c>
      <c r="AQ15" s="34">
        <v>51.350018256648887</v>
      </c>
      <c r="AR15" s="312" t="s">
        <v>250</v>
      </c>
      <c r="AS15" s="312" t="s">
        <v>317</v>
      </c>
      <c r="AT15" s="312" t="s">
        <v>318</v>
      </c>
      <c r="AU15" s="312" t="s">
        <v>319</v>
      </c>
      <c r="AV15" s="312" t="s">
        <v>293</v>
      </c>
      <c r="AW15" s="312" t="s">
        <v>280</v>
      </c>
      <c r="AX15" s="312" t="s">
        <v>320</v>
      </c>
      <c r="AY15" s="312" t="s">
        <v>257</v>
      </c>
      <c r="AZ15" s="312" t="s">
        <v>321</v>
      </c>
      <c r="BA15" s="312" t="s">
        <v>322</v>
      </c>
      <c r="BB15" s="312" t="s">
        <v>323</v>
      </c>
      <c r="BC15" s="312" t="s">
        <v>261</v>
      </c>
      <c r="BD15" s="313">
        <v>6.3E-2</v>
      </c>
      <c r="BE15" s="312" t="s">
        <v>299</v>
      </c>
      <c r="BF15" s="313">
        <v>0.14699999999999999</v>
      </c>
      <c r="BG15" s="312" t="s">
        <v>264</v>
      </c>
      <c r="BH15" s="312" t="s">
        <v>314</v>
      </c>
      <c r="BI15" s="312" t="s">
        <v>261</v>
      </c>
      <c r="BJ15" s="312" t="s">
        <v>250</v>
      </c>
      <c r="BK15" s="312" t="s">
        <v>264</v>
      </c>
      <c r="BL15" s="312" t="s">
        <v>324</v>
      </c>
      <c r="BM15" s="312" t="s">
        <v>267</v>
      </c>
      <c r="BN15" s="313">
        <v>0.14299999999999999</v>
      </c>
      <c r="BO15" s="312" t="s">
        <v>303</v>
      </c>
      <c r="BP15" s="313">
        <v>4.2000000000000003E-2</v>
      </c>
      <c r="BQ15" s="313">
        <v>3.9E-2</v>
      </c>
      <c r="BR15" s="312" t="s">
        <v>269</v>
      </c>
      <c r="BS15" s="312" t="s">
        <v>250</v>
      </c>
      <c r="BT15" s="312" t="s">
        <v>325</v>
      </c>
      <c r="BU15" s="313">
        <v>9.1999999999999998E-2</v>
      </c>
      <c r="BV15" s="312" t="s">
        <v>272</v>
      </c>
      <c r="BW15" s="313">
        <v>0.155</v>
      </c>
      <c r="BX15" s="312" t="s">
        <v>274</v>
      </c>
      <c r="BY15" s="312" t="s">
        <v>326</v>
      </c>
      <c r="BZ15" s="312" t="s">
        <v>254</v>
      </c>
      <c r="CA15" s="1">
        <v>45.632945929942295</v>
      </c>
      <c r="CB15" s="31">
        <v>2.3580000000000001</v>
      </c>
      <c r="CC15" s="32">
        <v>12.082000000000001</v>
      </c>
      <c r="CD15" s="30">
        <v>121.77200000000001</v>
      </c>
      <c r="CE15" s="31">
        <v>6.3622190000000005</v>
      </c>
      <c r="CF15" s="32">
        <v>65.529057999999992</v>
      </c>
      <c r="CG15" s="30">
        <v>28.108723999999999</v>
      </c>
    </row>
    <row r="16" spans="1:85" s="1" customFormat="1" ht="15.75" thickBot="1" x14ac:dyDescent="0.3">
      <c r="A16" s="1" t="s">
        <v>63</v>
      </c>
      <c r="B16" s="1" t="s">
        <v>77</v>
      </c>
      <c r="C16" s="1" t="s">
        <v>85</v>
      </c>
      <c r="D16" s="1" t="s">
        <v>84</v>
      </c>
      <c r="E16" s="1">
        <v>3</v>
      </c>
      <c r="F16" s="35" t="s">
        <v>169</v>
      </c>
      <c r="G16" s="35" t="s">
        <v>170</v>
      </c>
      <c r="H16" s="36">
        <v>44165</v>
      </c>
      <c r="I16" s="37">
        <v>0.4201388888888889</v>
      </c>
      <c r="J16" s="38">
        <v>5.6</v>
      </c>
      <c r="K16" s="39">
        <v>7.6360000000000001</v>
      </c>
      <c r="L16" s="40">
        <v>32.6</v>
      </c>
      <c r="M16" s="35">
        <v>50.6</v>
      </c>
      <c r="N16" s="40">
        <v>-32.6</v>
      </c>
      <c r="O16" s="40">
        <v>7.3</v>
      </c>
      <c r="P16" s="41">
        <v>1645449565.217391</v>
      </c>
      <c r="Q16" s="42">
        <v>55.6</v>
      </c>
      <c r="R16" s="43">
        <v>3.8666666666666667</v>
      </c>
      <c r="S16" s="43">
        <v>2.5333333333333332</v>
      </c>
      <c r="T16" s="44">
        <v>66.13333333333334</v>
      </c>
      <c r="U16" s="45">
        <v>10.128755364806869</v>
      </c>
      <c r="V16" s="43">
        <v>16.089043111232858</v>
      </c>
      <c r="W16" s="46">
        <f t="shared" si="0"/>
        <v>38.633126934984539</v>
      </c>
      <c r="X16" s="47">
        <v>6177.4111774111771</v>
      </c>
      <c r="Y16" s="48">
        <v>11.378768378768379</v>
      </c>
      <c r="Z16" s="48">
        <v>7.0590070590070594E-2</v>
      </c>
      <c r="AA16" s="48">
        <v>7.7455637455637447</v>
      </c>
      <c r="AB16" s="48">
        <v>21.344331344331341</v>
      </c>
      <c r="AC16" s="48">
        <v>10.138723138723138</v>
      </c>
      <c r="AD16" s="48">
        <v>16331.012831012831</v>
      </c>
      <c r="AE16" s="48">
        <v>279.93837993837991</v>
      </c>
      <c r="AF16" s="48">
        <v>15.21136071136071</v>
      </c>
      <c r="AG16" s="48">
        <v>30.966030966030967</v>
      </c>
      <c r="AH16" s="48">
        <v>1.1545961545961547</v>
      </c>
      <c r="AI16" s="48">
        <v>27.966927966927962</v>
      </c>
      <c r="AJ16" s="48">
        <v>78.81166881166881</v>
      </c>
      <c r="AK16" s="46">
        <v>6.3765063765063759E-2</v>
      </c>
      <c r="AL16" s="49">
        <v>0</v>
      </c>
      <c r="AM16" s="49">
        <v>1.17</v>
      </c>
      <c r="AN16" s="49">
        <v>4.66</v>
      </c>
      <c r="AO16" s="49">
        <v>95.19</v>
      </c>
      <c r="AP16" s="49">
        <v>75.02</v>
      </c>
      <c r="AQ16" s="50">
        <v>39.903372253169344</v>
      </c>
      <c r="AR16" s="312" t="s">
        <v>250</v>
      </c>
      <c r="AS16" s="312" t="s">
        <v>317</v>
      </c>
      <c r="AT16" s="312" t="s">
        <v>318</v>
      </c>
      <c r="AU16" s="312" t="s">
        <v>319</v>
      </c>
      <c r="AV16" s="312" t="s">
        <v>293</v>
      </c>
      <c r="AW16" s="312" t="s">
        <v>280</v>
      </c>
      <c r="AX16" s="312" t="s">
        <v>320</v>
      </c>
      <c r="AY16" s="312" t="s">
        <v>257</v>
      </c>
      <c r="AZ16" s="312" t="s">
        <v>321</v>
      </c>
      <c r="BA16" s="312" t="s">
        <v>322</v>
      </c>
      <c r="BB16" s="312" t="s">
        <v>323</v>
      </c>
      <c r="BC16" s="312" t="s">
        <v>261</v>
      </c>
      <c r="BD16" s="313">
        <v>6.3E-2</v>
      </c>
      <c r="BE16" s="312" t="s">
        <v>299</v>
      </c>
      <c r="BF16" s="313">
        <v>0.14699999999999999</v>
      </c>
      <c r="BG16" s="312" t="s">
        <v>264</v>
      </c>
      <c r="BH16" s="312" t="s">
        <v>314</v>
      </c>
      <c r="BI16" s="312" t="s">
        <v>261</v>
      </c>
      <c r="BJ16" s="312" t="s">
        <v>250</v>
      </c>
      <c r="BK16" s="312" t="s">
        <v>264</v>
      </c>
      <c r="BL16" s="312" t="s">
        <v>324</v>
      </c>
      <c r="BM16" s="312" t="s">
        <v>267</v>
      </c>
      <c r="BN16" s="313">
        <v>0.14299999999999999</v>
      </c>
      <c r="BO16" s="312" t="s">
        <v>303</v>
      </c>
      <c r="BP16" s="313">
        <v>4.2000000000000003E-2</v>
      </c>
      <c r="BQ16" s="313">
        <v>3.9E-2</v>
      </c>
      <c r="BR16" s="312" t="s">
        <v>269</v>
      </c>
      <c r="BS16" s="312" t="s">
        <v>250</v>
      </c>
      <c r="BT16" s="312" t="s">
        <v>325</v>
      </c>
      <c r="BU16" s="313">
        <v>9.1999999999999998E-2</v>
      </c>
      <c r="BV16" s="312" t="s">
        <v>272</v>
      </c>
      <c r="BW16" s="313">
        <v>0.155</v>
      </c>
      <c r="BX16" s="312" t="s">
        <v>274</v>
      </c>
      <c r="BY16" s="312" t="s">
        <v>326</v>
      </c>
      <c r="BZ16" s="312" t="s">
        <v>254</v>
      </c>
      <c r="CA16" s="1">
        <v>41.616083409634122</v>
      </c>
      <c r="CB16" s="51">
        <v>2.11</v>
      </c>
      <c r="CC16" s="52">
        <v>8.8520000000000003</v>
      </c>
      <c r="CD16" s="53">
        <v>80.138000000000005</v>
      </c>
      <c r="CE16" s="51">
        <v>7.5851939999999995</v>
      </c>
      <c r="CF16" s="52">
        <v>75.139280000000014</v>
      </c>
      <c r="CG16" s="53">
        <v>17.275525999999999</v>
      </c>
    </row>
    <row r="17" spans="1:85" s="1" customFormat="1" ht="15.75" thickBot="1" x14ac:dyDescent="0.3">
      <c r="A17" s="1" t="s">
        <v>65</v>
      </c>
      <c r="B17" s="1" t="s">
        <v>78</v>
      </c>
      <c r="C17" s="1" t="s">
        <v>85</v>
      </c>
      <c r="D17" s="1" t="s">
        <v>84</v>
      </c>
      <c r="E17" s="1">
        <v>1</v>
      </c>
      <c r="F17" s="2" t="s">
        <v>171</v>
      </c>
      <c r="G17" s="2" t="s">
        <v>172</v>
      </c>
      <c r="H17" s="3">
        <v>44165</v>
      </c>
      <c r="I17" s="4">
        <v>0.47916666666666669</v>
      </c>
      <c r="J17" s="5">
        <v>5.5</v>
      </c>
      <c r="K17" s="6">
        <v>7.931</v>
      </c>
      <c r="L17" s="7">
        <v>31</v>
      </c>
      <c r="M17" s="2">
        <f>1.554*L17+0.4349</f>
        <v>48.608899999999998</v>
      </c>
      <c r="N17" s="7">
        <v>-49</v>
      </c>
      <c r="O17" s="7">
        <v>8.9</v>
      </c>
      <c r="P17" s="8">
        <v>630601739.13043487</v>
      </c>
      <c r="Q17" s="9">
        <v>8.4</v>
      </c>
      <c r="R17" s="10">
        <v>3.1333333333333333</v>
      </c>
      <c r="S17" s="10">
        <v>0.93333333333333335</v>
      </c>
      <c r="T17" s="11">
        <v>13.422222222222221</v>
      </c>
      <c r="U17" s="12">
        <v>1.5407407407407407</v>
      </c>
      <c r="V17" s="10">
        <v>6.7447483958122261</v>
      </c>
      <c r="W17" s="13">
        <f t="shared" si="0"/>
        <v>18.595652173913045</v>
      </c>
      <c r="X17" s="14">
        <v>6590.0791727258038</v>
      </c>
      <c r="Y17" s="15">
        <v>20.469381160122797</v>
      </c>
      <c r="Z17" s="15">
        <v>8.381806430764259E-2</v>
      </c>
      <c r="AA17" s="15">
        <v>12.677754887703992</v>
      </c>
      <c r="AB17" s="15">
        <v>29.034173533688801</v>
      </c>
      <c r="AC17" s="15">
        <v>15.614113750201971</v>
      </c>
      <c r="AD17" s="15">
        <v>23837.049604136373</v>
      </c>
      <c r="AE17" s="15">
        <v>614.22483438358381</v>
      </c>
      <c r="AF17" s="15">
        <v>24.855388592664404</v>
      </c>
      <c r="AG17" s="15">
        <v>35.809500727096463</v>
      </c>
      <c r="AH17" s="15">
        <v>1.7821942155437067</v>
      </c>
      <c r="AI17" s="15">
        <v>43.872798513491688</v>
      </c>
      <c r="AJ17" s="15">
        <v>84.277144934561335</v>
      </c>
      <c r="AK17" s="16">
        <v>8.0788495718209744E-2</v>
      </c>
      <c r="AL17" s="17">
        <v>0</v>
      </c>
      <c r="AM17" s="17">
        <v>2.2799999999999998</v>
      </c>
      <c r="AN17" s="17">
        <v>7.03</v>
      </c>
      <c r="AO17" s="17">
        <v>125.08</v>
      </c>
      <c r="AP17" s="17">
        <v>211.5</v>
      </c>
      <c r="AQ17" s="18">
        <v>21.479793427623434</v>
      </c>
      <c r="AR17" s="312" t="s">
        <v>287</v>
      </c>
      <c r="AS17" s="312" t="s">
        <v>327</v>
      </c>
      <c r="AT17" s="312" t="s">
        <v>291</v>
      </c>
      <c r="AU17" s="312" t="s">
        <v>328</v>
      </c>
      <c r="AV17" s="312" t="s">
        <v>287</v>
      </c>
      <c r="AW17" s="312" t="s">
        <v>294</v>
      </c>
      <c r="AX17" s="312" t="s">
        <v>329</v>
      </c>
      <c r="AY17" s="312" t="s">
        <v>267</v>
      </c>
      <c r="AZ17" s="312" t="s">
        <v>330</v>
      </c>
      <c r="BA17" s="312" t="s">
        <v>285</v>
      </c>
      <c r="BB17" s="312" t="s">
        <v>331</v>
      </c>
      <c r="BC17" s="312" t="s">
        <v>261</v>
      </c>
      <c r="BD17" s="313">
        <v>3.5999999999999997E-2</v>
      </c>
      <c r="BE17" s="312" t="s">
        <v>299</v>
      </c>
      <c r="BF17" s="313">
        <v>7.3999999999999996E-2</v>
      </c>
      <c r="BG17" s="312" t="s">
        <v>264</v>
      </c>
      <c r="BH17" s="312" t="s">
        <v>265</v>
      </c>
      <c r="BI17" s="313">
        <v>5.0000000000000001E-3</v>
      </c>
      <c r="BJ17" s="312" t="s">
        <v>264</v>
      </c>
      <c r="BK17" s="312" t="s">
        <v>264</v>
      </c>
      <c r="BL17" s="312" t="s">
        <v>332</v>
      </c>
      <c r="BM17" s="312" t="s">
        <v>264</v>
      </c>
      <c r="BN17" s="313">
        <v>0.106</v>
      </c>
      <c r="BO17" s="312" t="s">
        <v>274</v>
      </c>
      <c r="BP17" s="313">
        <v>3.9E-2</v>
      </c>
      <c r="BQ17" s="312" t="s">
        <v>285</v>
      </c>
      <c r="BR17" s="312" t="s">
        <v>293</v>
      </c>
      <c r="BS17" s="312" t="s">
        <v>264</v>
      </c>
      <c r="BT17" s="312" t="s">
        <v>269</v>
      </c>
      <c r="BU17" s="313">
        <v>0.11</v>
      </c>
      <c r="BV17" s="312" t="s">
        <v>287</v>
      </c>
      <c r="BW17" s="313">
        <v>9.8000000000000004E-2</v>
      </c>
      <c r="BX17" s="312" t="s">
        <v>254</v>
      </c>
      <c r="BY17" s="312" t="s">
        <v>333</v>
      </c>
      <c r="BZ17" s="312" t="s">
        <v>334</v>
      </c>
      <c r="CA17" s="1">
        <v>49.221360569951464</v>
      </c>
      <c r="CB17" s="54">
        <v>2.1389999999999998</v>
      </c>
      <c r="CC17" s="55">
        <v>8.5670000000000002</v>
      </c>
      <c r="CD17" s="13">
        <v>70.882999999999996</v>
      </c>
      <c r="CE17" s="54">
        <v>7.4216169999999995</v>
      </c>
      <c r="CF17" s="55">
        <v>78.182019000000011</v>
      </c>
      <c r="CG17" s="13">
        <v>14.396365999999997</v>
      </c>
    </row>
    <row r="18" spans="1:85" s="1" customFormat="1" ht="15.75" thickBot="1" x14ac:dyDescent="0.3">
      <c r="A18" s="1" t="s">
        <v>66</v>
      </c>
      <c r="B18" s="1" t="s">
        <v>78</v>
      </c>
      <c r="C18" s="1" t="s">
        <v>85</v>
      </c>
      <c r="D18" s="1" t="s">
        <v>84</v>
      </c>
      <c r="E18" s="1">
        <v>2</v>
      </c>
      <c r="F18" s="19" t="s">
        <v>171</v>
      </c>
      <c r="G18" s="19" t="s">
        <v>172</v>
      </c>
      <c r="H18" s="20">
        <v>44165</v>
      </c>
      <c r="I18" s="21">
        <v>0.4826388888888889</v>
      </c>
      <c r="J18" s="22">
        <v>6.1</v>
      </c>
      <c r="K18" s="23">
        <v>8.0359999999999996</v>
      </c>
      <c r="L18" s="24">
        <v>32</v>
      </c>
      <c r="M18" s="2">
        <f t="shared" ref="M18:M19" si="1">1.554*L18+0.4349</f>
        <v>50.1629</v>
      </c>
      <c r="N18" s="24">
        <v>-54.9</v>
      </c>
      <c r="O18" s="24">
        <v>7.5</v>
      </c>
      <c r="P18" s="25">
        <v>975972173.9130435</v>
      </c>
      <c r="Q18" s="26">
        <v>8.1333333333333329</v>
      </c>
      <c r="R18" s="27">
        <v>3.1333333333333333</v>
      </c>
      <c r="S18" s="27">
        <v>0.53333333333333333</v>
      </c>
      <c r="T18" s="28">
        <v>12.555555555555554</v>
      </c>
      <c r="U18" s="29">
        <v>1.2823529411764711</v>
      </c>
      <c r="V18" s="27">
        <v>7.1329280648429556</v>
      </c>
      <c r="W18" s="30">
        <f t="shared" si="0"/>
        <v>15.238385269121824</v>
      </c>
      <c r="X18" s="31">
        <v>6521.5351393796618</v>
      </c>
      <c r="Y18" s="32">
        <v>22.807616804083239</v>
      </c>
      <c r="Z18" s="32">
        <v>8.7357675696898326E-2</v>
      </c>
      <c r="AA18" s="32">
        <v>12.584746760895174</v>
      </c>
      <c r="AB18" s="32">
        <v>28.745386729485674</v>
      </c>
      <c r="AC18" s="32">
        <v>14.684864546525326</v>
      </c>
      <c r="AD18" s="32">
        <v>23794.464075382806</v>
      </c>
      <c r="AE18" s="32">
        <v>510.87946603847672</v>
      </c>
      <c r="AF18" s="32">
        <v>24.413034943070279</v>
      </c>
      <c r="AG18" s="32">
        <v>37.161366313309784</v>
      </c>
      <c r="AH18" s="32">
        <v>1.8091872791519434</v>
      </c>
      <c r="AI18" s="32">
        <v>45.101884570082454</v>
      </c>
      <c r="AJ18" s="32">
        <v>83.719473890852001</v>
      </c>
      <c r="AK18" s="30">
        <v>8.6572438162544174E-2</v>
      </c>
      <c r="AL18" s="33">
        <v>1.1200000000000001</v>
      </c>
      <c r="AM18" s="33">
        <v>2.29</v>
      </c>
      <c r="AN18" s="33">
        <v>7.2</v>
      </c>
      <c r="AO18" s="33">
        <v>125.33</v>
      </c>
      <c r="AP18" s="33">
        <v>262.76</v>
      </c>
      <c r="AQ18" s="34">
        <v>74.751471904421592</v>
      </c>
      <c r="AR18" s="312" t="s">
        <v>287</v>
      </c>
      <c r="AS18" s="312" t="s">
        <v>327</v>
      </c>
      <c r="AT18" s="312" t="s">
        <v>291</v>
      </c>
      <c r="AU18" s="312" t="s">
        <v>328</v>
      </c>
      <c r="AV18" s="312" t="s">
        <v>287</v>
      </c>
      <c r="AW18" s="312" t="s">
        <v>294</v>
      </c>
      <c r="AX18" s="312" t="s">
        <v>329</v>
      </c>
      <c r="AY18" s="312" t="s">
        <v>267</v>
      </c>
      <c r="AZ18" s="312" t="s">
        <v>330</v>
      </c>
      <c r="BA18" s="312" t="s">
        <v>285</v>
      </c>
      <c r="BB18" s="312" t="s">
        <v>331</v>
      </c>
      <c r="BC18" s="312" t="s">
        <v>261</v>
      </c>
      <c r="BD18" s="313">
        <v>3.5999999999999997E-2</v>
      </c>
      <c r="BE18" s="312" t="s">
        <v>299</v>
      </c>
      <c r="BF18" s="313">
        <v>7.3999999999999996E-2</v>
      </c>
      <c r="BG18" s="312" t="s">
        <v>264</v>
      </c>
      <c r="BH18" s="312" t="s">
        <v>265</v>
      </c>
      <c r="BI18" s="313">
        <v>5.0000000000000001E-3</v>
      </c>
      <c r="BJ18" s="312" t="s">
        <v>264</v>
      </c>
      <c r="BK18" s="312" t="s">
        <v>264</v>
      </c>
      <c r="BL18" s="312" t="s">
        <v>332</v>
      </c>
      <c r="BM18" s="312" t="s">
        <v>264</v>
      </c>
      <c r="BN18" s="313">
        <v>0.106</v>
      </c>
      <c r="BO18" s="312" t="s">
        <v>274</v>
      </c>
      <c r="BP18" s="313">
        <v>3.9E-2</v>
      </c>
      <c r="BQ18" s="312" t="s">
        <v>285</v>
      </c>
      <c r="BR18" s="312" t="s">
        <v>293</v>
      </c>
      <c r="BS18" s="312" t="s">
        <v>264</v>
      </c>
      <c r="BT18" s="312" t="s">
        <v>269</v>
      </c>
      <c r="BU18" s="313">
        <v>0.11</v>
      </c>
      <c r="BV18" s="312" t="s">
        <v>287</v>
      </c>
      <c r="BW18" s="313">
        <v>9.8000000000000004E-2</v>
      </c>
      <c r="BX18" s="312" t="s">
        <v>254</v>
      </c>
      <c r="BY18" s="312" t="s">
        <v>333</v>
      </c>
      <c r="BZ18" s="312" t="s">
        <v>334</v>
      </c>
      <c r="CA18" s="1">
        <v>48.87562594301459</v>
      </c>
      <c r="CB18" s="31">
        <v>1.8440000000000001</v>
      </c>
      <c r="CC18" s="32">
        <v>7.8620000000000001</v>
      </c>
      <c r="CD18" s="30">
        <v>305.09699999999998</v>
      </c>
      <c r="CE18" s="31">
        <v>9.557938</v>
      </c>
      <c r="CF18" s="32">
        <v>70.537252000000009</v>
      </c>
      <c r="CG18" s="30">
        <v>19.904807999999996</v>
      </c>
    </row>
    <row r="19" spans="1:85" s="1" customFormat="1" ht="15.75" thickBot="1" x14ac:dyDescent="0.3">
      <c r="A19" s="1" t="s">
        <v>67</v>
      </c>
      <c r="B19" s="1" t="s">
        <v>78</v>
      </c>
      <c r="C19" s="1" t="s">
        <v>85</v>
      </c>
      <c r="D19" s="1" t="s">
        <v>84</v>
      </c>
      <c r="E19" s="1">
        <v>3</v>
      </c>
      <c r="F19" s="35" t="s">
        <v>171</v>
      </c>
      <c r="G19" s="35" t="s">
        <v>172</v>
      </c>
      <c r="H19" s="36">
        <v>44165</v>
      </c>
      <c r="I19" s="37">
        <v>0.4861111111111111</v>
      </c>
      <c r="J19" s="38">
        <v>6</v>
      </c>
      <c r="K19" s="39">
        <v>8.0429999999999993</v>
      </c>
      <c r="L19" s="40">
        <v>32</v>
      </c>
      <c r="M19" s="2">
        <f t="shared" si="1"/>
        <v>50.1629</v>
      </c>
      <c r="N19" s="40">
        <v>-55.3</v>
      </c>
      <c r="O19" s="40">
        <v>37</v>
      </c>
      <c r="P19" s="41">
        <v>649932173.9130435</v>
      </c>
      <c r="Q19" s="42">
        <v>7</v>
      </c>
      <c r="R19" s="43">
        <v>3.2666666666666666</v>
      </c>
      <c r="S19" s="43">
        <v>0.46666666666666667</v>
      </c>
      <c r="T19" s="44">
        <v>11.611111111111111</v>
      </c>
      <c r="U19" s="45">
        <v>1.5445544554455448</v>
      </c>
      <c r="V19" s="43">
        <v>6.6544417359669072</v>
      </c>
      <c r="W19" s="46">
        <f t="shared" si="0"/>
        <v>18.838336052202294</v>
      </c>
      <c r="X19" s="51">
        <v>6609.5917637238144</v>
      </c>
      <c r="Y19" s="52">
        <v>18.812060261557416</v>
      </c>
      <c r="Z19" s="52">
        <v>9.5798386135071745E-2</v>
      </c>
      <c r="AA19" s="52">
        <v>12.435902532098423</v>
      </c>
      <c r="AB19" s="52">
        <v>27.961799896649044</v>
      </c>
      <c r="AC19" s="52">
        <v>13.885141312557142</v>
      </c>
      <c r="AD19" s="52">
        <v>22782.326986524626</v>
      </c>
      <c r="AE19" s="52">
        <v>566.52224033072309</v>
      </c>
      <c r="AF19" s="52">
        <v>23.767738601582064</v>
      </c>
      <c r="AG19" s="52">
        <v>36.451087172556342</v>
      </c>
      <c r="AH19" s="52">
        <v>1.6347338712883093</v>
      </c>
      <c r="AI19" s="52">
        <v>44.2079739237588</v>
      </c>
      <c r="AJ19" s="52">
        <v>82.552172357594316</v>
      </c>
      <c r="AK19" s="53">
        <v>8.0494494574074815E-2</v>
      </c>
      <c r="AL19" s="56">
        <v>0</v>
      </c>
      <c r="AM19" s="56">
        <v>5.74</v>
      </c>
      <c r="AN19" s="56">
        <v>14.54</v>
      </c>
      <c r="AO19" s="56">
        <v>168.95</v>
      </c>
      <c r="AP19" s="56">
        <v>297.12</v>
      </c>
      <c r="AQ19" s="57">
        <v>27.475883633460601</v>
      </c>
      <c r="AR19" s="312" t="s">
        <v>287</v>
      </c>
      <c r="AS19" s="312" t="s">
        <v>327</v>
      </c>
      <c r="AT19" s="312" t="s">
        <v>291</v>
      </c>
      <c r="AU19" s="312" t="s">
        <v>328</v>
      </c>
      <c r="AV19" s="312" t="s">
        <v>287</v>
      </c>
      <c r="AW19" s="312" t="s">
        <v>294</v>
      </c>
      <c r="AX19" s="312" t="s">
        <v>329</v>
      </c>
      <c r="AY19" s="312" t="s">
        <v>267</v>
      </c>
      <c r="AZ19" s="312" t="s">
        <v>330</v>
      </c>
      <c r="BA19" s="312" t="s">
        <v>285</v>
      </c>
      <c r="BB19" s="312" t="s">
        <v>331</v>
      </c>
      <c r="BC19" s="312" t="s">
        <v>261</v>
      </c>
      <c r="BD19" s="313">
        <v>3.5999999999999997E-2</v>
      </c>
      <c r="BE19" s="312" t="s">
        <v>299</v>
      </c>
      <c r="BF19" s="313">
        <v>7.3999999999999996E-2</v>
      </c>
      <c r="BG19" s="312" t="s">
        <v>264</v>
      </c>
      <c r="BH19" s="312" t="s">
        <v>265</v>
      </c>
      <c r="BI19" s="313">
        <v>5.0000000000000001E-3</v>
      </c>
      <c r="BJ19" s="312" t="s">
        <v>264</v>
      </c>
      <c r="BK19" s="312" t="s">
        <v>264</v>
      </c>
      <c r="BL19" s="312" t="s">
        <v>332</v>
      </c>
      <c r="BM19" s="312" t="s">
        <v>264</v>
      </c>
      <c r="BN19" s="313">
        <v>0.106</v>
      </c>
      <c r="BO19" s="312" t="s">
        <v>274</v>
      </c>
      <c r="BP19" s="313">
        <v>3.9E-2</v>
      </c>
      <c r="BQ19" s="312" t="s">
        <v>285</v>
      </c>
      <c r="BR19" s="312" t="s">
        <v>293</v>
      </c>
      <c r="BS19" s="312" t="s">
        <v>264</v>
      </c>
      <c r="BT19" s="312" t="s">
        <v>269</v>
      </c>
      <c r="BU19" s="313">
        <v>0.11</v>
      </c>
      <c r="BV19" s="312" t="s">
        <v>287</v>
      </c>
      <c r="BW19" s="313">
        <v>9.8000000000000004E-2</v>
      </c>
      <c r="BX19" s="312" t="s">
        <v>254</v>
      </c>
      <c r="BY19" s="312" t="s">
        <v>333</v>
      </c>
      <c r="BZ19" s="312" t="s">
        <v>334</v>
      </c>
      <c r="CA19" s="1">
        <v>48.418654446904021</v>
      </c>
      <c r="CB19" s="47">
        <v>2.0110000000000001</v>
      </c>
      <c r="CC19" s="48">
        <v>7.7889999999999997</v>
      </c>
      <c r="CD19" s="46">
        <v>49.850999999999999</v>
      </c>
      <c r="CE19" s="47">
        <v>8.223179</v>
      </c>
      <c r="CF19" s="48">
        <v>80.924443000000011</v>
      </c>
      <c r="CG19" s="46">
        <v>10.852378999999997</v>
      </c>
    </row>
    <row r="20" spans="1:85" s="1" customFormat="1" x14ac:dyDescent="0.25">
      <c r="A20" s="1" t="s">
        <v>68</v>
      </c>
      <c r="B20" s="1" t="s">
        <v>79</v>
      </c>
      <c r="C20" s="1" t="s">
        <v>85</v>
      </c>
      <c r="D20" s="1" t="s">
        <v>83</v>
      </c>
      <c r="E20" s="1">
        <v>1</v>
      </c>
      <c r="F20" s="2" t="s">
        <v>173</v>
      </c>
      <c r="G20" s="2" t="s">
        <v>174</v>
      </c>
      <c r="H20" s="3">
        <v>44172</v>
      </c>
      <c r="I20" s="4">
        <v>0.44791666666666669</v>
      </c>
      <c r="J20" s="5">
        <v>6.4</v>
      </c>
      <c r="K20" s="6">
        <v>7.6749999999999998</v>
      </c>
      <c r="L20" s="7">
        <v>6.3</v>
      </c>
      <c r="M20" s="2">
        <v>11.35</v>
      </c>
      <c r="N20" s="7">
        <v>-36</v>
      </c>
      <c r="O20" s="7">
        <f>AVERAGE(O21:O22)</f>
        <v>13.5</v>
      </c>
      <c r="P20" s="8">
        <v>99370342.124774918</v>
      </c>
      <c r="Q20" s="9">
        <v>9.6666666666666661</v>
      </c>
      <c r="R20" s="10">
        <v>0</v>
      </c>
      <c r="S20" s="10">
        <v>0.13333333333333333</v>
      </c>
      <c r="T20" s="11">
        <v>11.044444444444443</v>
      </c>
      <c r="U20" s="12">
        <v>0.27963525835866271</v>
      </c>
      <c r="V20" s="10">
        <v>0.47177440464642145</v>
      </c>
      <c r="W20" s="13">
        <f t="shared" si="0"/>
        <v>37.214754098360672</v>
      </c>
      <c r="X20" s="54">
        <v>4405.4153157325927</v>
      </c>
      <c r="Y20" s="55">
        <v>28.690751891307706</v>
      </c>
      <c r="Z20" s="55">
        <v>0.10170603674540685</v>
      </c>
      <c r="AA20" s="55">
        <v>13.127412382275747</v>
      </c>
      <c r="AB20" s="55">
        <v>33.818897637795274</v>
      </c>
      <c r="AC20" s="55">
        <v>19.73772579898101</v>
      </c>
      <c r="AD20" s="55">
        <v>28329.473521692144</v>
      </c>
      <c r="AE20" s="55">
        <v>356.82607688744798</v>
      </c>
      <c r="AF20" s="55">
        <v>28.188204415624522</v>
      </c>
      <c r="AG20" s="55">
        <v>33.966342442488809</v>
      </c>
      <c r="AH20" s="55">
        <v>3.7150687046472135</v>
      </c>
      <c r="AI20" s="55">
        <v>35.524355411455929</v>
      </c>
      <c r="AJ20" s="55">
        <v>100.44059749884207</v>
      </c>
      <c r="AK20" s="13">
        <v>0.12351397251814113</v>
      </c>
      <c r="AL20" s="60">
        <f>AVERAGE(AL21:AL22)</f>
        <v>0</v>
      </c>
      <c r="AM20" s="60">
        <f t="shared" ref="AM20:AP20" si="2">AVERAGE(AM21:AM22)</f>
        <v>0.65</v>
      </c>
      <c r="AN20" s="60">
        <f t="shared" si="2"/>
        <v>8.68</v>
      </c>
      <c r="AO20" s="58">
        <v>194.17</v>
      </c>
      <c r="AP20" s="60">
        <f t="shared" si="2"/>
        <v>175.45</v>
      </c>
      <c r="AQ20" s="59">
        <v>53.28449722479894</v>
      </c>
      <c r="AR20" s="312" t="s">
        <v>276</v>
      </c>
      <c r="AS20" s="312" t="s">
        <v>335</v>
      </c>
      <c r="AT20" s="312" t="s">
        <v>252</v>
      </c>
      <c r="AU20" s="312" t="s">
        <v>336</v>
      </c>
      <c r="AV20" s="312" t="s">
        <v>276</v>
      </c>
      <c r="AW20" s="312" t="s">
        <v>337</v>
      </c>
      <c r="AX20" s="312" t="s">
        <v>338</v>
      </c>
      <c r="AY20" s="312" t="s">
        <v>267</v>
      </c>
      <c r="AZ20" s="312" t="s">
        <v>339</v>
      </c>
      <c r="BA20" s="312" t="s">
        <v>284</v>
      </c>
      <c r="BB20" s="312" t="s">
        <v>340</v>
      </c>
      <c r="BC20" s="312" t="s">
        <v>261</v>
      </c>
      <c r="BD20" s="313">
        <v>4.5999999999999999E-2</v>
      </c>
      <c r="BE20" s="312" t="s">
        <v>262</v>
      </c>
      <c r="BF20" s="313">
        <v>8.5999999999999993E-2</v>
      </c>
      <c r="BG20" s="312" t="s">
        <v>271</v>
      </c>
      <c r="BH20" s="312" t="s">
        <v>285</v>
      </c>
      <c r="BI20" s="313">
        <v>4.0000000000000001E-3</v>
      </c>
      <c r="BJ20" s="312" t="s">
        <v>264</v>
      </c>
      <c r="BK20" s="312" t="s">
        <v>271</v>
      </c>
      <c r="BL20" s="312" t="s">
        <v>341</v>
      </c>
      <c r="BM20" s="312" t="s">
        <v>264</v>
      </c>
      <c r="BN20" s="313">
        <v>0.14099999999999999</v>
      </c>
      <c r="BO20" s="312" t="s">
        <v>293</v>
      </c>
      <c r="BP20" s="313">
        <v>2.8000000000000001E-2</v>
      </c>
      <c r="BQ20" s="312" t="s">
        <v>273</v>
      </c>
      <c r="BR20" s="312" t="s">
        <v>254</v>
      </c>
      <c r="BS20" s="312" t="s">
        <v>271</v>
      </c>
      <c r="BT20" s="312" t="s">
        <v>272</v>
      </c>
      <c r="BU20" s="313">
        <v>0.08</v>
      </c>
      <c r="BV20" s="312" t="s">
        <v>276</v>
      </c>
      <c r="BW20" s="313">
        <v>0.112</v>
      </c>
      <c r="BX20" s="312" t="s">
        <v>269</v>
      </c>
      <c r="BY20" s="312" t="s">
        <v>342</v>
      </c>
      <c r="BZ20" s="313">
        <v>4.4999999999999998E-2</v>
      </c>
      <c r="CA20" s="1">
        <v>46.56337737874108</v>
      </c>
      <c r="CB20" s="14">
        <v>1.653</v>
      </c>
      <c r="CC20" s="15">
        <v>6.1219999999999999</v>
      </c>
      <c r="CD20" s="16">
        <v>34.890999999999998</v>
      </c>
      <c r="CE20" s="14">
        <v>11.558673000000001</v>
      </c>
      <c r="CF20" s="15">
        <v>80.471885</v>
      </c>
      <c r="CG20" s="16">
        <v>7.9694409999999989</v>
      </c>
    </row>
    <row r="21" spans="1:85" s="1" customFormat="1" x14ac:dyDescent="0.25">
      <c r="A21" s="1" t="s">
        <v>69</v>
      </c>
      <c r="B21" s="1" t="s">
        <v>79</v>
      </c>
      <c r="C21" s="1" t="s">
        <v>85</v>
      </c>
      <c r="D21" s="1" t="s">
        <v>83</v>
      </c>
      <c r="E21" s="1">
        <v>2</v>
      </c>
      <c r="F21" s="19" t="s">
        <v>173</v>
      </c>
      <c r="G21" s="19" t="s">
        <v>174</v>
      </c>
      <c r="H21" s="20">
        <v>44172</v>
      </c>
      <c r="I21" s="21">
        <v>0.45624999999999999</v>
      </c>
      <c r="J21" s="22">
        <v>6.7</v>
      </c>
      <c r="K21" s="23">
        <v>7.6980000000000004</v>
      </c>
      <c r="L21" s="24">
        <v>5</v>
      </c>
      <c r="M21" s="19">
        <v>8.9</v>
      </c>
      <c r="N21" s="24">
        <v>-35.4</v>
      </c>
      <c r="O21" s="24">
        <v>13</v>
      </c>
      <c r="P21" s="25">
        <v>554782145.11174667</v>
      </c>
      <c r="Q21" s="26">
        <v>12.533333333333333</v>
      </c>
      <c r="R21" s="27">
        <v>0.33333333333333331</v>
      </c>
      <c r="S21" s="27">
        <v>0.13333333333333333</v>
      </c>
      <c r="T21" s="28">
        <v>14.644444444444444</v>
      </c>
      <c r="U21" s="29">
        <v>1.8890649762282081</v>
      </c>
      <c r="V21" s="27">
        <v>7.385225041225314</v>
      </c>
      <c r="W21" s="30">
        <f t="shared" si="0"/>
        <v>20.368836565096938</v>
      </c>
      <c r="X21" s="31">
        <v>4248.913419746913</v>
      </c>
      <c r="Y21" s="32">
        <v>18.487614908265705</v>
      </c>
      <c r="Z21" s="32">
        <v>0.22693180506942573</v>
      </c>
      <c r="AA21" s="32">
        <v>18.414515942920886</v>
      </c>
      <c r="AB21" s="32">
        <v>29.091888149544214</v>
      </c>
      <c r="AC21" s="32">
        <v>20.817339128428017</v>
      </c>
      <c r="AD21" s="32">
        <v>23449.363437055272</v>
      </c>
      <c r="AE21" s="32">
        <v>348.44994038232244</v>
      </c>
      <c r="AF21" s="32">
        <v>29.641524674025924</v>
      </c>
      <c r="AG21" s="32">
        <v>47.309511904304017</v>
      </c>
      <c r="AH21" s="32">
        <v>2.7770298857648372</v>
      </c>
      <c r="AI21" s="32">
        <v>33.679179968460325</v>
      </c>
      <c r="AJ21" s="32">
        <v>152.65144813262049</v>
      </c>
      <c r="AK21" s="30">
        <v>0.1246201776991423</v>
      </c>
      <c r="AL21" s="33">
        <v>0</v>
      </c>
      <c r="AM21" s="33">
        <v>0.79</v>
      </c>
      <c r="AN21" s="33">
        <v>5.7</v>
      </c>
      <c r="AO21" s="33">
        <v>48.9</v>
      </c>
      <c r="AP21" s="33">
        <v>177.22</v>
      </c>
      <c r="AQ21" s="34">
        <v>26.787669025025931</v>
      </c>
      <c r="AR21" s="312" t="s">
        <v>276</v>
      </c>
      <c r="AS21" s="312" t="s">
        <v>335</v>
      </c>
      <c r="AT21" s="312" t="s">
        <v>252</v>
      </c>
      <c r="AU21" s="312" t="s">
        <v>336</v>
      </c>
      <c r="AV21" s="312" t="s">
        <v>276</v>
      </c>
      <c r="AW21" s="312" t="s">
        <v>337</v>
      </c>
      <c r="AX21" s="312" t="s">
        <v>338</v>
      </c>
      <c r="AY21" s="312" t="s">
        <v>267</v>
      </c>
      <c r="AZ21" s="312" t="s">
        <v>339</v>
      </c>
      <c r="BA21" s="312" t="s">
        <v>284</v>
      </c>
      <c r="BB21" s="312" t="s">
        <v>340</v>
      </c>
      <c r="BC21" s="312" t="s">
        <v>261</v>
      </c>
      <c r="BD21" s="313">
        <v>4.5999999999999999E-2</v>
      </c>
      <c r="BE21" s="312" t="s">
        <v>262</v>
      </c>
      <c r="BF21" s="313">
        <v>8.5999999999999993E-2</v>
      </c>
      <c r="BG21" s="312" t="s">
        <v>271</v>
      </c>
      <c r="BH21" s="312" t="s">
        <v>285</v>
      </c>
      <c r="BI21" s="313">
        <v>4.0000000000000001E-3</v>
      </c>
      <c r="BJ21" s="312" t="s">
        <v>264</v>
      </c>
      <c r="BK21" s="312" t="s">
        <v>271</v>
      </c>
      <c r="BL21" s="312" t="s">
        <v>341</v>
      </c>
      <c r="BM21" s="312" t="s">
        <v>264</v>
      </c>
      <c r="BN21" s="313">
        <v>0.14099999999999999</v>
      </c>
      <c r="BO21" s="312" t="s">
        <v>293</v>
      </c>
      <c r="BP21" s="313">
        <v>2.8000000000000001E-2</v>
      </c>
      <c r="BQ21" s="312" t="s">
        <v>273</v>
      </c>
      <c r="BR21" s="312" t="s">
        <v>254</v>
      </c>
      <c r="BS21" s="312" t="s">
        <v>271</v>
      </c>
      <c r="BT21" s="312" t="s">
        <v>272</v>
      </c>
      <c r="BU21" s="313">
        <v>0.08</v>
      </c>
      <c r="BV21" s="312" t="s">
        <v>276</v>
      </c>
      <c r="BW21" s="313">
        <v>0.112</v>
      </c>
      <c r="BX21" s="312" t="s">
        <v>269</v>
      </c>
      <c r="BY21" s="312" t="s">
        <v>342</v>
      </c>
      <c r="BZ21" s="313">
        <v>4.4999999999999998E-2</v>
      </c>
      <c r="CA21" s="1">
        <v>45.255174035747885</v>
      </c>
      <c r="CB21" s="31">
        <v>1.7969999999999999</v>
      </c>
      <c r="CC21" s="32">
        <v>8.9659999999999993</v>
      </c>
      <c r="CD21" s="30">
        <v>115.227</v>
      </c>
      <c r="CE21" s="31">
        <v>9.9871529999999993</v>
      </c>
      <c r="CF21" s="32">
        <v>73.005951999999994</v>
      </c>
      <c r="CG21" s="30">
        <v>17.006896000000001</v>
      </c>
    </row>
    <row r="22" spans="1:85" s="1" customFormat="1" ht="15.75" thickBot="1" x14ac:dyDescent="0.3">
      <c r="A22" s="1" t="s">
        <v>70</v>
      </c>
      <c r="B22" s="1" t="s">
        <v>79</v>
      </c>
      <c r="C22" s="1" t="s">
        <v>85</v>
      </c>
      <c r="D22" s="1" t="s">
        <v>83</v>
      </c>
      <c r="E22" s="1">
        <v>3</v>
      </c>
      <c r="F22" s="35" t="s">
        <v>173</v>
      </c>
      <c r="G22" s="35" t="s">
        <v>174</v>
      </c>
      <c r="H22" s="36">
        <v>44172</v>
      </c>
      <c r="I22" s="37">
        <v>0.46527777777777773</v>
      </c>
      <c r="J22" s="38">
        <v>7.2</v>
      </c>
      <c r="K22" s="39">
        <f>AVERAGE(K20:K21)</f>
        <v>7.6865000000000006</v>
      </c>
      <c r="L22" s="40">
        <f t="shared" ref="L22:N22" si="3">AVERAGE(L20:L21)</f>
        <v>5.65</v>
      </c>
      <c r="M22" s="40">
        <f t="shared" si="3"/>
        <v>10.125</v>
      </c>
      <c r="N22" s="40">
        <f t="shared" si="3"/>
        <v>-35.700000000000003</v>
      </c>
      <c r="O22" s="40">
        <v>14</v>
      </c>
      <c r="P22" s="41">
        <v>961247500.90032816</v>
      </c>
      <c r="Q22" s="42">
        <v>8.4666666666666668</v>
      </c>
      <c r="R22" s="43">
        <v>1.1333333333333333</v>
      </c>
      <c r="S22" s="43">
        <v>0.2</v>
      </c>
      <c r="T22" s="44">
        <v>10.511111111111109</v>
      </c>
      <c r="U22" s="45">
        <v>14.323574730354389</v>
      </c>
      <c r="V22" s="43">
        <v>11.591128429209927</v>
      </c>
      <c r="W22" s="46">
        <f t="shared" si="0"/>
        <v>55.271999999999998</v>
      </c>
      <c r="X22" s="47">
        <v>4330.7741764683642</v>
      </c>
      <c r="Y22" s="48">
        <v>21.382701108127531</v>
      </c>
      <c r="Z22" s="48">
        <v>0.27022427290949663</v>
      </c>
      <c r="AA22" s="48">
        <v>18.878143791838436</v>
      </c>
      <c r="AB22" s="48">
        <v>40.083204114821683</v>
      </c>
      <c r="AC22" s="48">
        <v>25.537990242426542</v>
      </c>
      <c r="AD22" s="48">
        <v>28160.054460875159</v>
      </c>
      <c r="AE22" s="48">
        <v>549.35895011535115</v>
      </c>
      <c r="AF22" s="48">
        <v>34.058280700427368</v>
      </c>
      <c r="AG22" s="48">
        <v>59.906962671608497</v>
      </c>
      <c r="AH22" s="48">
        <v>3.0029121440187589</v>
      </c>
      <c r="AI22" s="48">
        <v>40.83223024847775</v>
      </c>
      <c r="AJ22" s="48">
        <v>187.40081691312739</v>
      </c>
      <c r="AK22" s="46">
        <v>0.17453954086456641</v>
      </c>
      <c r="AL22" s="49">
        <v>0</v>
      </c>
      <c r="AM22" s="49">
        <v>0.51</v>
      </c>
      <c r="AN22" s="49">
        <v>11.66</v>
      </c>
      <c r="AO22" s="49">
        <v>68.099999999999994</v>
      </c>
      <c r="AP22" s="49">
        <v>173.68</v>
      </c>
      <c r="AQ22" s="50">
        <v>19.703258305740366</v>
      </c>
      <c r="AR22" s="312" t="s">
        <v>276</v>
      </c>
      <c r="AS22" s="312" t="s">
        <v>335</v>
      </c>
      <c r="AT22" s="312" t="s">
        <v>252</v>
      </c>
      <c r="AU22" s="312" t="s">
        <v>336</v>
      </c>
      <c r="AV22" s="312" t="s">
        <v>276</v>
      </c>
      <c r="AW22" s="312" t="s">
        <v>337</v>
      </c>
      <c r="AX22" s="312" t="s">
        <v>338</v>
      </c>
      <c r="AY22" s="312" t="s">
        <v>267</v>
      </c>
      <c r="AZ22" s="312" t="s">
        <v>339</v>
      </c>
      <c r="BA22" s="312" t="s">
        <v>284</v>
      </c>
      <c r="BB22" s="312" t="s">
        <v>340</v>
      </c>
      <c r="BC22" s="312" t="s">
        <v>261</v>
      </c>
      <c r="BD22" s="313">
        <v>4.5999999999999999E-2</v>
      </c>
      <c r="BE22" s="312" t="s">
        <v>262</v>
      </c>
      <c r="BF22" s="313">
        <v>8.5999999999999993E-2</v>
      </c>
      <c r="BG22" s="312" t="s">
        <v>271</v>
      </c>
      <c r="BH22" s="312" t="s">
        <v>285</v>
      </c>
      <c r="BI22" s="313">
        <v>4.0000000000000001E-3</v>
      </c>
      <c r="BJ22" s="312" t="s">
        <v>264</v>
      </c>
      <c r="BK22" s="312" t="s">
        <v>271</v>
      </c>
      <c r="BL22" s="312" t="s">
        <v>341</v>
      </c>
      <c r="BM22" s="312" t="s">
        <v>264</v>
      </c>
      <c r="BN22" s="313">
        <v>0.14099999999999999</v>
      </c>
      <c r="BO22" s="312" t="s">
        <v>293</v>
      </c>
      <c r="BP22" s="313">
        <v>2.8000000000000001E-2</v>
      </c>
      <c r="BQ22" s="312" t="s">
        <v>273</v>
      </c>
      <c r="BR22" s="312" t="s">
        <v>254</v>
      </c>
      <c r="BS22" s="312" t="s">
        <v>271</v>
      </c>
      <c r="BT22" s="312" t="s">
        <v>272</v>
      </c>
      <c r="BU22" s="313">
        <v>0.08</v>
      </c>
      <c r="BV22" s="312" t="s">
        <v>276</v>
      </c>
      <c r="BW22" s="313">
        <v>0.112</v>
      </c>
      <c r="BX22" s="312" t="s">
        <v>269</v>
      </c>
      <c r="BY22" s="312" t="s">
        <v>342</v>
      </c>
      <c r="BZ22" s="313">
        <v>4.4999999999999998E-2</v>
      </c>
      <c r="CA22" s="1">
        <v>65.839374381331751</v>
      </c>
      <c r="CB22" s="51">
        <v>1.5549999999999999</v>
      </c>
      <c r="CC22" s="52">
        <v>6.7850000000000001</v>
      </c>
      <c r="CD22" s="53">
        <v>35.968000000000004</v>
      </c>
      <c r="CE22" s="51">
        <v>12.595852999999998</v>
      </c>
      <c r="CF22" s="52">
        <v>79.653474000000003</v>
      </c>
      <c r="CG22" s="53">
        <v>7.750669000000002</v>
      </c>
    </row>
    <row r="23" spans="1:85" s="1" customFormat="1" x14ac:dyDescent="0.25">
      <c r="A23" s="1" t="s">
        <v>71</v>
      </c>
      <c r="B23" s="1" t="s">
        <v>80</v>
      </c>
      <c r="C23" s="1" t="s">
        <v>85</v>
      </c>
      <c r="D23" s="1" t="s">
        <v>82</v>
      </c>
      <c r="E23" s="1">
        <v>1</v>
      </c>
      <c r="F23" s="2" t="s">
        <v>175</v>
      </c>
      <c r="G23" s="2" t="s">
        <v>176</v>
      </c>
      <c r="H23" s="3">
        <v>44166</v>
      </c>
      <c r="I23" s="4">
        <v>0.39583333333333331</v>
      </c>
      <c r="J23" s="5">
        <v>6.5</v>
      </c>
      <c r="K23" s="6">
        <v>7.2539999999999996</v>
      </c>
      <c r="L23" s="7">
        <v>0.4</v>
      </c>
      <c r="M23" s="2">
        <v>0.97499999999999998</v>
      </c>
      <c r="N23" s="7">
        <v>-12.1</v>
      </c>
      <c r="O23" s="7">
        <v>11</v>
      </c>
      <c r="P23" s="8">
        <v>619236874.90731907</v>
      </c>
      <c r="Q23" s="9">
        <v>0.8833333333333333</v>
      </c>
      <c r="R23" s="10">
        <v>0.25</v>
      </c>
      <c r="S23" s="10">
        <v>0.13333333333333333</v>
      </c>
      <c r="T23" s="11">
        <v>1.6277777777777778</v>
      </c>
      <c r="U23" s="12">
        <v>18.501718213058414</v>
      </c>
      <c r="V23" s="10">
        <v>41.132634906708162</v>
      </c>
      <c r="W23" s="13">
        <f t="shared" si="0"/>
        <v>31.02526856609061</v>
      </c>
      <c r="X23" s="14">
        <v>7124.0953256827552</v>
      </c>
      <c r="Y23" s="15">
        <v>14.936702786996685</v>
      </c>
      <c r="Z23" s="15">
        <v>6.9175096965092567E-2</v>
      </c>
      <c r="AA23" s="15">
        <v>11.605242112839379</v>
      </c>
      <c r="AB23" s="15">
        <v>32.020472629853259</v>
      </c>
      <c r="AC23" s="15">
        <v>11.291235155344078</v>
      </c>
      <c r="AD23" s="15">
        <v>24048.542524691115</v>
      </c>
      <c r="AE23" s="15">
        <v>431.27474109320656</v>
      </c>
      <c r="AF23" s="15">
        <v>25.177536087008683</v>
      </c>
      <c r="AG23" s="15">
        <v>36.246951097604871</v>
      </c>
      <c r="AH23" s="15">
        <v>2.0812507497300978</v>
      </c>
      <c r="AI23" s="15">
        <v>35.549402215202534</v>
      </c>
      <c r="AJ23" s="15">
        <v>98.125274901035638</v>
      </c>
      <c r="AK23" s="16">
        <v>6.8375384861449881E-2</v>
      </c>
      <c r="AL23" s="32">
        <v>0</v>
      </c>
      <c r="AM23" s="32">
        <v>0.31</v>
      </c>
      <c r="AN23" s="32">
        <v>1.21</v>
      </c>
      <c r="AO23" s="32">
        <v>290.11</v>
      </c>
      <c r="AP23" s="33">
        <v>125.24</v>
      </c>
      <c r="AQ23" s="59">
        <v>57.184029303079434</v>
      </c>
      <c r="AR23" s="314" t="s">
        <v>287</v>
      </c>
      <c r="AS23" s="314" t="s">
        <v>256</v>
      </c>
      <c r="AT23" s="314" t="s">
        <v>278</v>
      </c>
      <c r="AU23" s="314" t="s">
        <v>343</v>
      </c>
      <c r="AV23" s="314" t="s">
        <v>287</v>
      </c>
      <c r="AW23" s="314" t="s">
        <v>280</v>
      </c>
      <c r="AX23" s="314" t="s">
        <v>344</v>
      </c>
      <c r="AY23" s="314" t="s">
        <v>267</v>
      </c>
      <c r="AZ23" s="314" t="s">
        <v>345</v>
      </c>
      <c r="BA23" s="314" t="s">
        <v>273</v>
      </c>
      <c r="BB23" s="314" t="s">
        <v>346</v>
      </c>
      <c r="BC23" s="314" t="s">
        <v>261</v>
      </c>
      <c r="BD23" s="314" t="s">
        <v>284</v>
      </c>
      <c r="BE23" s="314" t="s">
        <v>263</v>
      </c>
      <c r="BF23" s="314" t="s">
        <v>262</v>
      </c>
      <c r="BG23" s="314" t="s">
        <v>264</v>
      </c>
      <c r="BH23" s="314" t="s">
        <v>265</v>
      </c>
      <c r="BI23" s="314" t="s">
        <v>261</v>
      </c>
      <c r="BJ23" s="314" t="s">
        <v>264</v>
      </c>
      <c r="BK23" s="314" t="s">
        <v>264</v>
      </c>
      <c r="BL23" s="314" t="s">
        <v>347</v>
      </c>
      <c r="BM23" s="314" t="s">
        <v>264</v>
      </c>
      <c r="BN23" s="315">
        <v>2.4E-2</v>
      </c>
      <c r="BO23" s="314" t="s">
        <v>274</v>
      </c>
      <c r="BP23" s="314" t="s">
        <v>293</v>
      </c>
      <c r="BQ23" s="314" t="s">
        <v>273</v>
      </c>
      <c r="BR23" s="314" t="s">
        <v>254</v>
      </c>
      <c r="BS23" s="314" t="s">
        <v>264</v>
      </c>
      <c r="BT23" s="314" t="s">
        <v>272</v>
      </c>
      <c r="BU23" s="314" t="s">
        <v>271</v>
      </c>
      <c r="BV23" s="314" t="s">
        <v>287</v>
      </c>
      <c r="BW23" s="314" t="s">
        <v>265</v>
      </c>
      <c r="BX23" s="314" t="s">
        <v>254</v>
      </c>
      <c r="BY23" s="314" t="s">
        <v>316</v>
      </c>
      <c r="BZ23" s="314" t="s">
        <v>289</v>
      </c>
      <c r="CA23" s="1">
        <v>59.172059034671243</v>
      </c>
      <c r="CB23" s="54">
        <v>2.0459999999999998</v>
      </c>
      <c r="CC23" s="55">
        <v>9.2430000000000003</v>
      </c>
      <c r="CD23" s="13">
        <v>49.442</v>
      </c>
      <c r="CE23" s="54">
        <v>8.0553360000000005</v>
      </c>
      <c r="CF23" s="55">
        <v>80.982892000000007</v>
      </c>
      <c r="CG23" s="13">
        <v>10.961773000000001</v>
      </c>
    </row>
    <row r="24" spans="1:85" s="1" customFormat="1" x14ac:dyDescent="0.25">
      <c r="A24" s="1" t="s">
        <v>72</v>
      </c>
      <c r="B24" s="1" t="s">
        <v>80</v>
      </c>
      <c r="C24" s="1" t="s">
        <v>85</v>
      </c>
      <c r="D24" s="1" t="s">
        <v>82</v>
      </c>
      <c r="E24" s="1">
        <v>2</v>
      </c>
      <c r="F24" s="19" t="s">
        <v>175</v>
      </c>
      <c r="G24" s="19" t="s">
        <v>176</v>
      </c>
      <c r="H24" s="20">
        <v>44166</v>
      </c>
      <c r="I24" s="21">
        <v>0.40625</v>
      </c>
      <c r="J24" s="22">
        <v>6.2</v>
      </c>
      <c r="K24" s="23">
        <v>7.2119999999999997</v>
      </c>
      <c r="L24" s="24">
        <v>0.4</v>
      </c>
      <c r="M24" s="19">
        <v>1.032</v>
      </c>
      <c r="N24" s="24">
        <v>-8.8000000000000007</v>
      </c>
      <c r="O24" s="24">
        <v>12</v>
      </c>
      <c r="P24" s="25">
        <v>575985476.9621861</v>
      </c>
      <c r="Q24" s="26">
        <v>2.2333333333333334</v>
      </c>
      <c r="R24" s="27">
        <v>0.43333333333333335</v>
      </c>
      <c r="S24" s="27">
        <v>0.76666666666666672</v>
      </c>
      <c r="T24" s="28">
        <v>6.7222222222222223</v>
      </c>
      <c r="U24" s="29">
        <v>18.900153609831026</v>
      </c>
      <c r="V24" s="27">
        <v>43.054255241332413</v>
      </c>
      <c r="W24" s="30">
        <f t="shared" si="0"/>
        <v>30.506551446945334</v>
      </c>
      <c r="X24" s="31">
        <v>6727.6686817106593</v>
      </c>
      <c r="Y24" s="32">
        <v>11.298670821912665</v>
      </c>
      <c r="Z24" s="32">
        <v>7.7159914391919784E-2</v>
      </c>
      <c r="AA24" s="32">
        <v>10.992490519280592</v>
      </c>
      <c r="AB24" s="32">
        <v>31.460781736942895</v>
      </c>
      <c r="AC24" s="32">
        <v>10.484042353471258</v>
      </c>
      <c r="AD24" s="32">
        <v>22868.433897795967</v>
      </c>
      <c r="AE24" s="32">
        <v>540.06120226786322</v>
      </c>
      <c r="AF24" s="32">
        <v>24.221079112379378</v>
      </c>
      <c r="AG24" s="32">
        <v>34.675027221867602</v>
      </c>
      <c r="AH24" s="32">
        <v>2.2152968122254348</v>
      </c>
      <c r="AI24" s="32">
        <v>34.66338752675253</v>
      </c>
      <c r="AJ24" s="32">
        <v>98.687718244283403</v>
      </c>
      <c r="AK24" s="30">
        <v>6.4393797168925779E-2</v>
      </c>
      <c r="AL24" s="32">
        <v>0.04</v>
      </c>
      <c r="AM24" s="32">
        <v>0.3</v>
      </c>
      <c r="AN24" s="32">
        <v>1.3440000000000001</v>
      </c>
      <c r="AO24" s="32">
        <v>274.47000000000003</v>
      </c>
      <c r="AP24" s="33">
        <v>150.52199999999999</v>
      </c>
      <c r="AQ24" s="34">
        <v>39.374643266353822</v>
      </c>
      <c r="AR24" s="314" t="s">
        <v>287</v>
      </c>
      <c r="AS24" s="314" t="s">
        <v>256</v>
      </c>
      <c r="AT24" s="314" t="s">
        <v>278</v>
      </c>
      <c r="AU24" s="314" t="s">
        <v>343</v>
      </c>
      <c r="AV24" s="314" t="s">
        <v>287</v>
      </c>
      <c r="AW24" s="314" t="s">
        <v>280</v>
      </c>
      <c r="AX24" s="314" t="s">
        <v>344</v>
      </c>
      <c r="AY24" s="314" t="s">
        <v>267</v>
      </c>
      <c r="AZ24" s="314" t="s">
        <v>345</v>
      </c>
      <c r="BA24" s="314" t="s">
        <v>273</v>
      </c>
      <c r="BB24" s="314" t="s">
        <v>346</v>
      </c>
      <c r="BC24" s="314" t="s">
        <v>261</v>
      </c>
      <c r="BD24" s="314" t="s">
        <v>284</v>
      </c>
      <c r="BE24" s="314" t="s">
        <v>263</v>
      </c>
      <c r="BF24" s="314" t="s">
        <v>262</v>
      </c>
      <c r="BG24" s="314" t="s">
        <v>264</v>
      </c>
      <c r="BH24" s="314" t="s">
        <v>265</v>
      </c>
      <c r="BI24" s="314" t="s">
        <v>261</v>
      </c>
      <c r="BJ24" s="314" t="s">
        <v>264</v>
      </c>
      <c r="BK24" s="314" t="s">
        <v>264</v>
      </c>
      <c r="BL24" s="314" t="s">
        <v>347</v>
      </c>
      <c r="BM24" s="314" t="s">
        <v>264</v>
      </c>
      <c r="BN24" s="315">
        <v>2.4E-2</v>
      </c>
      <c r="BO24" s="314" t="s">
        <v>274</v>
      </c>
      <c r="BP24" s="314" t="s">
        <v>293</v>
      </c>
      <c r="BQ24" s="314" t="s">
        <v>273</v>
      </c>
      <c r="BR24" s="314" t="s">
        <v>254</v>
      </c>
      <c r="BS24" s="314" t="s">
        <v>264</v>
      </c>
      <c r="BT24" s="314" t="s">
        <v>272</v>
      </c>
      <c r="BU24" s="314" t="s">
        <v>271</v>
      </c>
      <c r="BV24" s="314" t="s">
        <v>287</v>
      </c>
      <c r="BW24" s="314" t="s">
        <v>265</v>
      </c>
      <c r="BX24" s="314" t="s">
        <v>254</v>
      </c>
      <c r="BY24" s="314" t="s">
        <v>316</v>
      </c>
      <c r="BZ24" s="314" t="s">
        <v>289</v>
      </c>
      <c r="CA24" s="1">
        <v>63.429721388497065</v>
      </c>
      <c r="CB24" s="31">
        <v>2.008</v>
      </c>
      <c r="CC24" s="32">
        <v>7.6150000000000002</v>
      </c>
      <c r="CD24" s="30">
        <v>33.398000000000003</v>
      </c>
      <c r="CE24" s="31">
        <v>8.1968830000000015</v>
      </c>
      <c r="CF24" s="32">
        <v>85.541285999999999</v>
      </c>
      <c r="CG24" s="30">
        <v>6.2618289999999988</v>
      </c>
    </row>
    <row r="25" spans="1:85" s="1" customFormat="1" ht="15.75" thickBot="1" x14ac:dyDescent="0.3">
      <c r="A25" s="1" t="s">
        <v>73</v>
      </c>
      <c r="B25" s="1" t="s">
        <v>80</v>
      </c>
      <c r="C25" s="1" t="s">
        <v>85</v>
      </c>
      <c r="D25" s="1" t="s">
        <v>82</v>
      </c>
      <c r="E25" s="1">
        <v>3</v>
      </c>
      <c r="F25" s="35" t="s">
        <v>175</v>
      </c>
      <c r="G25" s="35" t="s">
        <v>176</v>
      </c>
      <c r="H25" s="36">
        <v>44166</v>
      </c>
      <c r="I25" s="37">
        <v>0.40972222222222227</v>
      </c>
      <c r="J25" s="38">
        <v>6.6</v>
      </c>
      <c r="K25" s="39">
        <v>7.09</v>
      </c>
      <c r="L25" s="40">
        <v>0.4</v>
      </c>
      <c r="M25" s="35">
        <v>1.012</v>
      </c>
      <c r="N25" s="40">
        <v>-2.2000000000000002</v>
      </c>
      <c r="O25" s="40">
        <v>11</v>
      </c>
      <c r="P25" s="41">
        <v>607163621.65024889</v>
      </c>
      <c r="Q25" s="42">
        <v>2.8666666666666667</v>
      </c>
      <c r="R25" s="43">
        <v>0.6</v>
      </c>
      <c r="S25" s="43">
        <v>0.56666666666666665</v>
      </c>
      <c r="T25" s="44">
        <v>6.1111111111111107</v>
      </c>
      <c r="U25" s="45">
        <v>26.528363047001623</v>
      </c>
      <c r="V25" s="43">
        <v>57.336597813717709</v>
      </c>
      <c r="W25" s="46">
        <f t="shared" si="0"/>
        <v>31.632236842105264</v>
      </c>
      <c r="X25" s="31">
        <v>6531.8891378188919</v>
      </c>
      <c r="Y25" s="32">
        <v>10.559008455590087</v>
      </c>
      <c r="Z25" s="32">
        <v>6.9921225699212275E-2</v>
      </c>
      <c r="AA25" s="32">
        <v>11.087121485871217</v>
      </c>
      <c r="AB25" s="32">
        <v>31.592650140926505</v>
      </c>
      <c r="AC25" s="32">
        <v>10.675507696755078</v>
      </c>
      <c r="AD25" s="32">
        <v>22451.037074510372</v>
      </c>
      <c r="AE25" s="32">
        <v>445.96372045963727</v>
      </c>
      <c r="AF25" s="32">
        <v>24.537110645371108</v>
      </c>
      <c r="AG25" s="32">
        <v>31.509720315097208</v>
      </c>
      <c r="AH25" s="32">
        <v>1.8735997687359975</v>
      </c>
      <c r="AI25" s="32">
        <v>34.607031871070326</v>
      </c>
      <c r="AJ25" s="32">
        <v>91.490749439907503</v>
      </c>
      <c r="AK25" s="30">
        <v>6.2874900628749009E-2</v>
      </c>
      <c r="AL25" s="32">
        <v>0.05</v>
      </c>
      <c r="AM25" s="32">
        <v>0.27</v>
      </c>
      <c r="AN25" s="32">
        <v>0.98599999999999999</v>
      </c>
      <c r="AO25" s="32">
        <v>282.19</v>
      </c>
      <c r="AP25" s="33">
        <v>193.904</v>
      </c>
      <c r="AQ25" s="50">
        <v>55.395747484218802</v>
      </c>
      <c r="AR25" s="314" t="s">
        <v>287</v>
      </c>
      <c r="AS25" s="314" t="s">
        <v>256</v>
      </c>
      <c r="AT25" s="314" t="s">
        <v>278</v>
      </c>
      <c r="AU25" s="314" t="s">
        <v>343</v>
      </c>
      <c r="AV25" s="314" t="s">
        <v>287</v>
      </c>
      <c r="AW25" s="314" t="s">
        <v>280</v>
      </c>
      <c r="AX25" s="314" t="s">
        <v>344</v>
      </c>
      <c r="AY25" s="314" t="s">
        <v>267</v>
      </c>
      <c r="AZ25" s="314" t="s">
        <v>345</v>
      </c>
      <c r="BA25" s="314" t="s">
        <v>273</v>
      </c>
      <c r="BB25" s="314" t="s">
        <v>346</v>
      </c>
      <c r="BC25" s="314" t="s">
        <v>261</v>
      </c>
      <c r="BD25" s="314" t="s">
        <v>284</v>
      </c>
      <c r="BE25" s="314" t="s">
        <v>263</v>
      </c>
      <c r="BF25" s="314" t="s">
        <v>262</v>
      </c>
      <c r="BG25" s="314" t="s">
        <v>264</v>
      </c>
      <c r="BH25" s="314" t="s">
        <v>265</v>
      </c>
      <c r="BI25" s="314" t="s">
        <v>261</v>
      </c>
      <c r="BJ25" s="314" t="s">
        <v>264</v>
      </c>
      <c r="BK25" s="314" t="s">
        <v>264</v>
      </c>
      <c r="BL25" s="314" t="s">
        <v>347</v>
      </c>
      <c r="BM25" s="314" t="s">
        <v>264</v>
      </c>
      <c r="BN25" s="315">
        <v>2.4E-2</v>
      </c>
      <c r="BO25" s="314" t="s">
        <v>274</v>
      </c>
      <c r="BP25" s="314" t="s">
        <v>293</v>
      </c>
      <c r="BQ25" s="314" t="s">
        <v>273</v>
      </c>
      <c r="BR25" s="314" t="s">
        <v>254</v>
      </c>
      <c r="BS25" s="314" t="s">
        <v>264</v>
      </c>
      <c r="BT25" s="314" t="s">
        <v>272</v>
      </c>
      <c r="BU25" s="314" t="s">
        <v>271</v>
      </c>
      <c r="BV25" s="314" t="s">
        <v>287</v>
      </c>
      <c r="BW25" s="314" t="s">
        <v>265</v>
      </c>
      <c r="BX25" s="314" t="s">
        <v>254</v>
      </c>
      <c r="BY25" s="314" t="s">
        <v>316</v>
      </c>
      <c r="BZ25" s="314" t="s">
        <v>289</v>
      </c>
      <c r="CA25" s="1">
        <v>67.270487264673307</v>
      </c>
      <c r="CB25" s="47">
        <v>1.919</v>
      </c>
      <c r="CC25" s="48">
        <v>7.61</v>
      </c>
      <c r="CD25" s="46">
        <v>34.755000000000003</v>
      </c>
      <c r="CE25" s="47">
        <v>8.9102149999999991</v>
      </c>
      <c r="CF25" s="48">
        <v>84.245351999999997</v>
      </c>
      <c r="CG25" s="46">
        <v>6.8444330000000013</v>
      </c>
    </row>
    <row r="26" spans="1:85" s="61" customFormat="1" ht="15.75" thickBot="1" x14ac:dyDescent="0.3">
      <c r="A26" s="61" t="s">
        <v>86</v>
      </c>
      <c r="B26" s="61" t="s">
        <v>64</v>
      </c>
      <c r="C26" s="61" t="s">
        <v>158</v>
      </c>
      <c r="D26" s="61" t="s">
        <v>82</v>
      </c>
      <c r="E26" s="61">
        <v>1</v>
      </c>
      <c r="F26" s="62" t="s">
        <v>161</v>
      </c>
      <c r="G26" s="62" t="s">
        <v>162</v>
      </c>
      <c r="H26" s="63">
        <v>44293</v>
      </c>
      <c r="I26" s="64">
        <v>0.40277777777777773</v>
      </c>
      <c r="J26" s="65">
        <v>9.1999999999999993</v>
      </c>
      <c r="K26" s="66">
        <v>7.4539999999999997</v>
      </c>
      <c r="L26" s="67">
        <v>0.7</v>
      </c>
      <c r="M26" s="62">
        <f t="shared" ref="M26:M49" si="4">1.554*L26+0.4349</f>
        <v>1.5226999999999999</v>
      </c>
      <c r="N26" s="67">
        <v>-42.5</v>
      </c>
      <c r="O26" s="67">
        <v>8.9</v>
      </c>
      <c r="P26" s="68">
        <v>629397846.37473094</v>
      </c>
      <c r="Q26" s="69">
        <v>1.6666666666666667</v>
      </c>
      <c r="R26" s="70">
        <v>2.8666666666666667</v>
      </c>
      <c r="S26" s="70">
        <v>0.73333333333333328</v>
      </c>
      <c r="T26" s="71">
        <v>7.2222222222222232</v>
      </c>
      <c r="U26" s="72">
        <v>17.579085153135864</v>
      </c>
      <c r="V26" s="70">
        <v>24.265430942877234</v>
      </c>
      <c r="W26" s="73">
        <f t="shared" si="0"/>
        <v>42.010487378561848</v>
      </c>
      <c r="X26" s="66">
        <v>4401.87</v>
      </c>
      <c r="Y26" s="74">
        <v>8.64</v>
      </c>
      <c r="Z26" s="74">
        <v>0.1</v>
      </c>
      <c r="AA26" s="74">
        <v>6.95</v>
      </c>
      <c r="AB26" s="74">
        <v>23.8</v>
      </c>
      <c r="AC26" s="74">
        <v>12.25</v>
      </c>
      <c r="AD26" s="74">
        <v>19975.86</v>
      </c>
      <c r="AE26" s="74">
        <v>553.91</v>
      </c>
      <c r="AF26" s="74">
        <v>18.05</v>
      </c>
      <c r="AG26" s="74">
        <v>14.45</v>
      </c>
      <c r="AH26" s="74" t="s">
        <v>348</v>
      </c>
      <c r="AI26" s="74">
        <v>29.48</v>
      </c>
      <c r="AJ26" s="74">
        <v>74.180000000000007</v>
      </c>
      <c r="AK26" s="75">
        <v>7.0000000000000007E-2</v>
      </c>
      <c r="AL26" s="66">
        <v>0</v>
      </c>
      <c r="AM26" s="67">
        <v>0.28000000000000003</v>
      </c>
      <c r="AN26" s="67">
        <v>2.5939999999999999</v>
      </c>
      <c r="AO26" s="67">
        <v>437.53199999999998</v>
      </c>
      <c r="AP26" s="75">
        <v>224.928</v>
      </c>
      <c r="AQ26" s="76">
        <v>43.586762824629773</v>
      </c>
      <c r="AR26" s="312" t="s">
        <v>250</v>
      </c>
      <c r="AS26" s="312" t="s">
        <v>251</v>
      </c>
      <c r="AT26" s="312" t="s">
        <v>252</v>
      </c>
      <c r="AU26" s="312" t="s">
        <v>253</v>
      </c>
      <c r="AV26" s="312" t="s">
        <v>254</v>
      </c>
      <c r="AW26" s="312" t="s">
        <v>255</v>
      </c>
      <c r="AX26" s="312" t="s">
        <v>256</v>
      </c>
      <c r="AY26" s="312" t="s">
        <v>257</v>
      </c>
      <c r="AZ26" s="312" t="s">
        <v>258</v>
      </c>
      <c r="BA26" s="312" t="s">
        <v>259</v>
      </c>
      <c r="BB26" s="312" t="s">
        <v>260</v>
      </c>
      <c r="BC26" s="312" t="s">
        <v>261</v>
      </c>
      <c r="BD26" s="312" t="s">
        <v>262</v>
      </c>
      <c r="BE26" s="312" t="s">
        <v>263</v>
      </c>
      <c r="BF26" s="312" t="s">
        <v>262</v>
      </c>
      <c r="BG26" s="312" t="s">
        <v>264</v>
      </c>
      <c r="BH26" s="312" t="s">
        <v>265</v>
      </c>
      <c r="BI26" s="312" t="s">
        <v>261</v>
      </c>
      <c r="BJ26" s="312" t="s">
        <v>250</v>
      </c>
      <c r="BK26" s="312" t="s">
        <v>264</v>
      </c>
      <c r="BL26" s="312" t="s">
        <v>266</v>
      </c>
      <c r="BM26" s="312" t="s">
        <v>267</v>
      </c>
      <c r="BN26" s="312" t="s">
        <v>266</v>
      </c>
      <c r="BO26" s="312" t="s">
        <v>268</v>
      </c>
      <c r="BP26" s="312" t="s">
        <v>264</v>
      </c>
      <c r="BQ26" s="312" t="s">
        <v>265</v>
      </c>
      <c r="BR26" s="312" t="s">
        <v>269</v>
      </c>
      <c r="BS26" s="312" t="s">
        <v>264</v>
      </c>
      <c r="BT26" s="312" t="s">
        <v>270</v>
      </c>
      <c r="BU26" s="312" t="s">
        <v>271</v>
      </c>
      <c r="BV26" s="312" t="s">
        <v>272</v>
      </c>
      <c r="BW26" s="312" t="s">
        <v>273</v>
      </c>
      <c r="BX26" s="312" t="s">
        <v>274</v>
      </c>
      <c r="BY26" s="312" t="s">
        <v>275</v>
      </c>
      <c r="BZ26" s="313">
        <v>2.5999999999999999E-2</v>
      </c>
      <c r="CA26" s="61">
        <v>63.414797050358054</v>
      </c>
      <c r="CB26" s="77">
        <v>3.569</v>
      </c>
      <c r="CC26" s="78">
        <v>113.444</v>
      </c>
      <c r="CD26" s="79">
        <v>1012.508</v>
      </c>
      <c r="CE26" s="77">
        <v>3.9232509999999996</v>
      </c>
      <c r="CF26" s="78">
        <v>38.433541000000005</v>
      </c>
      <c r="CG26" s="79">
        <v>57.643208999999992</v>
      </c>
    </row>
    <row r="27" spans="1:85" s="61" customFormat="1" ht="15.75" thickBot="1" x14ac:dyDescent="0.3">
      <c r="A27" s="61" t="s">
        <v>88</v>
      </c>
      <c r="B27" s="61" t="s">
        <v>64</v>
      </c>
      <c r="C27" s="61" t="s">
        <v>158</v>
      </c>
      <c r="D27" s="61" t="s">
        <v>82</v>
      </c>
      <c r="E27" s="61">
        <v>2</v>
      </c>
      <c r="F27" s="80" t="s">
        <v>161</v>
      </c>
      <c r="G27" s="80" t="s">
        <v>162</v>
      </c>
      <c r="H27" s="81">
        <v>44293</v>
      </c>
      <c r="I27" s="82">
        <v>0.42708333333333331</v>
      </c>
      <c r="J27" s="83">
        <v>10.7</v>
      </c>
      <c r="K27" s="84">
        <v>7.3470000000000004</v>
      </c>
      <c r="L27" s="85">
        <v>0.7</v>
      </c>
      <c r="M27" s="62">
        <f t="shared" si="4"/>
        <v>1.5226999999999999</v>
      </c>
      <c r="N27" s="85">
        <v>-36</v>
      </c>
      <c r="O27" s="85">
        <v>8.6999999999999993</v>
      </c>
      <c r="P27" s="86">
        <v>636206748.0258435</v>
      </c>
      <c r="Q27" s="87">
        <v>3.5666666666666669</v>
      </c>
      <c r="R27" s="88">
        <v>4.333333333333333</v>
      </c>
      <c r="S27" s="88">
        <v>0.53333333333333333</v>
      </c>
      <c r="T27" s="89">
        <v>9.1777777777777771</v>
      </c>
      <c r="U27" s="90">
        <v>13.091660524044432</v>
      </c>
      <c r="V27" s="88">
        <v>35.172262389560004</v>
      </c>
      <c r="W27" s="91">
        <f t="shared" si="0"/>
        <v>27.125148006471328</v>
      </c>
      <c r="X27" s="84">
        <v>4450.58</v>
      </c>
      <c r="Y27" s="92">
        <v>8.81</v>
      </c>
      <c r="Z27" s="92">
        <v>0.1</v>
      </c>
      <c r="AA27" s="92">
        <v>6.86</v>
      </c>
      <c r="AB27" s="92">
        <v>26.44</v>
      </c>
      <c r="AC27" s="92">
        <v>10.48</v>
      </c>
      <c r="AD27" s="92">
        <v>22680.51</v>
      </c>
      <c r="AE27" s="92">
        <v>373.31</v>
      </c>
      <c r="AF27" s="92">
        <v>19.29</v>
      </c>
      <c r="AG27" s="92">
        <v>14.23</v>
      </c>
      <c r="AH27" s="92" t="s">
        <v>349</v>
      </c>
      <c r="AI27" s="92">
        <v>31.24</v>
      </c>
      <c r="AJ27" s="92">
        <v>78.95</v>
      </c>
      <c r="AK27" s="93">
        <v>0.06</v>
      </c>
      <c r="AL27" s="84">
        <v>0</v>
      </c>
      <c r="AM27" s="85">
        <v>0.19600000000000001</v>
      </c>
      <c r="AN27" s="85">
        <v>1.02</v>
      </c>
      <c r="AO27" s="85">
        <v>446.88400000000001</v>
      </c>
      <c r="AP27" s="93">
        <v>151.232</v>
      </c>
      <c r="AQ27" s="94">
        <v>35.776359701970613</v>
      </c>
      <c r="AR27" s="312" t="s">
        <v>250</v>
      </c>
      <c r="AS27" s="312" t="s">
        <v>251</v>
      </c>
      <c r="AT27" s="312" t="s">
        <v>252</v>
      </c>
      <c r="AU27" s="312" t="s">
        <v>253</v>
      </c>
      <c r="AV27" s="312" t="s">
        <v>254</v>
      </c>
      <c r="AW27" s="312" t="s">
        <v>255</v>
      </c>
      <c r="AX27" s="312" t="s">
        <v>256</v>
      </c>
      <c r="AY27" s="312" t="s">
        <v>257</v>
      </c>
      <c r="AZ27" s="312" t="s">
        <v>258</v>
      </c>
      <c r="BA27" s="312" t="s">
        <v>259</v>
      </c>
      <c r="BB27" s="312" t="s">
        <v>260</v>
      </c>
      <c r="BC27" s="312" t="s">
        <v>261</v>
      </c>
      <c r="BD27" s="312" t="s">
        <v>262</v>
      </c>
      <c r="BE27" s="312" t="s">
        <v>263</v>
      </c>
      <c r="BF27" s="312" t="s">
        <v>262</v>
      </c>
      <c r="BG27" s="312" t="s">
        <v>264</v>
      </c>
      <c r="BH27" s="312" t="s">
        <v>265</v>
      </c>
      <c r="BI27" s="312" t="s">
        <v>261</v>
      </c>
      <c r="BJ27" s="312" t="s">
        <v>250</v>
      </c>
      <c r="BK27" s="312" t="s">
        <v>264</v>
      </c>
      <c r="BL27" s="312" t="s">
        <v>266</v>
      </c>
      <c r="BM27" s="312" t="s">
        <v>267</v>
      </c>
      <c r="BN27" s="312" t="s">
        <v>266</v>
      </c>
      <c r="BO27" s="312" t="s">
        <v>268</v>
      </c>
      <c r="BP27" s="312" t="s">
        <v>264</v>
      </c>
      <c r="BQ27" s="312" t="s">
        <v>265</v>
      </c>
      <c r="BR27" s="312" t="s">
        <v>269</v>
      </c>
      <c r="BS27" s="312" t="s">
        <v>264</v>
      </c>
      <c r="BT27" s="312" t="s">
        <v>270</v>
      </c>
      <c r="BU27" s="312" t="s">
        <v>271</v>
      </c>
      <c r="BV27" s="312" t="s">
        <v>272</v>
      </c>
      <c r="BW27" s="312" t="s">
        <v>273</v>
      </c>
      <c r="BX27" s="312" t="s">
        <v>274</v>
      </c>
      <c r="BY27" s="312" t="s">
        <v>275</v>
      </c>
      <c r="BZ27" s="313">
        <v>2.5999999999999999E-2</v>
      </c>
      <c r="CA27" s="61">
        <v>65.318785181927339</v>
      </c>
      <c r="CB27" s="95">
        <v>2.0030000000000001</v>
      </c>
      <c r="CC27" s="96">
        <v>8.423</v>
      </c>
      <c r="CD27" s="91">
        <v>44.289000000000001</v>
      </c>
      <c r="CE27" s="95">
        <v>8.3317110000000003</v>
      </c>
      <c r="CF27" s="96">
        <v>82.054847999999978</v>
      </c>
      <c r="CG27" s="91">
        <v>9.6134419999999992</v>
      </c>
    </row>
    <row r="28" spans="1:85" s="61" customFormat="1" ht="15.75" thickBot="1" x14ac:dyDescent="0.3">
      <c r="A28" s="61" t="s">
        <v>89</v>
      </c>
      <c r="B28" s="61" t="s">
        <v>64</v>
      </c>
      <c r="C28" s="61" t="s">
        <v>158</v>
      </c>
      <c r="D28" s="61" t="s">
        <v>82</v>
      </c>
      <c r="E28" s="61">
        <v>3</v>
      </c>
      <c r="F28" s="97" t="s">
        <v>161</v>
      </c>
      <c r="G28" s="97" t="s">
        <v>162</v>
      </c>
      <c r="H28" s="98">
        <v>44293</v>
      </c>
      <c r="I28" s="99">
        <v>0.40972222222222227</v>
      </c>
      <c r="J28" s="100">
        <v>11</v>
      </c>
      <c r="K28" s="101">
        <v>7.3929999999999998</v>
      </c>
      <c r="L28" s="102">
        <v>0.7</v>
      </c>
      <c r="M28" s="62">
        <f t="shared" si="4"/>
        <v>1.5226999999999999</v>
      </c>
      <c r="N28" s="102">
        <v>-38.9</v>
      </c>
      <c r="O28" s="102">
        <v>6.9</v>
      </c>
      <c r="P28" s="103">
        <v>926010624.55132818</v>
      </c>
      <c r="Q28" s="104">
        <v>1.6333333333333333</v>
      </c>
      <c r="R28" s="105">
        <v>3.4333333333333331</v>
      </c>
      <c r="S28" s="105">
        <v>0.66666666666666663</v>
      </c>
      <c r="T28" s="106">
        <v>7.5333333333333341</v>
      </c>
      <c r="U28" s="107">
        <v>21.810504617277175</v>
      </c>
      <c r="V28" s="105">
        <v>23.283225182334981</v>
      </c>
      <c r="W28" s="108">
        <f t="shared" si="0"/>
        <v>48.367045073004284</v>
      </c>
      <c r="X28" s="101">
        <v>4665.96</v>
      </c>
      <c r="Y28" s="109">
        <v>7.9</v>
      </c>
      <c r="Z28" s="109">
        <v>0.08</v>
      </c>
      <c r="AA28" s="109">
        <v>6.35</v>
      </c>
      <c r="AB28" s="109">
        <v>24.25</v>
      </c>
      <c r="AC28" s="109">
        <v>10.14</v>
      </c>
      <c r="AD28" s="109">
        <v>21677.200000000001</v>
      </c>
      <c r="AE28" s="109">
        <v>363.7</v>
      </c>
      <c r="AF28" s="109">
        <v>17.87</v>
      </c>
      <c r="AG28" s="109">
        <v>12.96</v>
      </c>
      <c r="AH28" s="109" t="s">
        <v>350</v>
      </c>
      <c r="AI28" s="109">
        <v>28.75</v>
      </c>
      <c r="AJ28" s="109">
        <v>70.349999999999994</v>
      </c>
      <c r="AK28" s="110">
        <v>0.06</v>
      </c>
      <c r="AL28" s="101">
        <v>0.29799999999999999</v>
      </c>
      <c r="AM28" s="102">
        <v>0.318</v>
      </c>
      <c r="AN28" s="102">
        <v>1.3959999999999999</v>
      </c>
      <c r="AO28" s="102">
        <v>282.16800000000001</v>
      </c>
      <c r="AP28" s="110">
        <v>149.60400000000001</v>
      </c>
      <c r="AQ28" s="111">
        <v>37.312761822399281</v>
      </c>
      <c r="AR28" s="312" t="s">
        <v>250</v>
      </c>
      <c r="AS28" s="312" t="s">
        <v>251</v>
      </c>
      <c r="AT28" s="312" t="s">
        <v>252</v>
      </c>
      <c r="AU28" s="312" t="s">
        <v>253</v>
      </c>
      <c r="AV28" s="312" t="s">
        <v>254</v>
      </c>
      <c r="AW28" s="312" t="s">
        <v>255</v>
      </c>
      <c r="AX28" s="312" t="s">
        <v>256</v>
      </c>
      <c r="AY28" s="312" t="s">
        <v>257</v>
      </c>
      <c r="AZ28" s="312" t="s">
        <v>258</v>
      </c>
      <c r="BA28" s="312" t="s">
        <v>259</v>
      </c>
      <c r="BB28" s="312" t="s">
        <v>260</v>
      </c>
      <c r="BC28" s="312" t="s">
        <v>261</v>
      </c>
      <c r="BD28" s="312" t="s">
        <v>262</v>
      </c>
      <c r="BE28" s="312" t="s">
        <v>263</v>
      </c>
      <c r="BF28" s="312" t="s">
        <v>262</v>
      </c>
      <c r="BG28" s="312" t="s">
        <v>264</v>
      </c>
      <c r="BH28" s="312" t="s">
        <v>265</v>
      </c>
      <c r="BI28" s="312" t="s">
        <v>261</v>
      </c>
      <c r="BJ28" s="312" t="s">
        <v>250</v>
      </c>
      <c r="BK28" s="312" t="s">
        <v>264</v>
      </c>
      <c r="BL28" s="312" t="s">
        <v>266</v>
      </c>
      <c r="BM28" s="312" t="s">
        <v>267</v>
      </c>
      <c r="BN28" s="312" t="s">
        <v>266</v>
      </c>
      <c r="BO28" s="312" t="s">
        <v>268</v>
      </c>
      <c r="BP28" s="312" t="s">
        <v>264</v>
      </c>
      <c r="BQ28" s="312" t="s">
        <v>265</v>
      </c>
      <c r="BR28" s="312" t="s">
        <v>269</v>
      </c>
      <c r="BS28" s="312" t="s">
        <v>264</v>
      </c>
      <c r="BT28" s="312" t="s">
        <v>270</v>
      </c>
      <c r="BU28" s="312" t="s">
        <v>271</v>
      </c>
      <c r="BV28" s="312" t="s">
        <v>272</v>
      </c>
      <c r="BW28" s="312" t="s">
        <v>273</v>
      </c>
      <c r="BX28" s="312" t="s">
        <v>274</v>
      </c>
      <c r="BY28" s="312" t="s">
        <v>275</v>
      </c>
      <c r="BZ28" s="313">
        <v>2.5999999999999999E-2</v>
      </c>
      <c r="CA28" s="61">
        <v>52.406968102276906</v>
      </c>
      <c r="CB28" s="112">
        <v>1.831</v>
      </c>
      <c r="CC28" s="113">
        <v>8.9849999999999994</v>
      </c>
      <c r="CD28" s="114">
        <v>168.178</v>
      </c>
      <c r="CE28" s="112">
        <v>9.6838829999999998</v>
      </c>
      <c r="CF28" s="113">
        <v>69.547775000000001</v>
      </c>
      <c r="CG28" s="114">
        <v>20.768342999999994</v>
      </c>
    </row>
    <row r="29" spans="1:85" s="61" customFormat="1" ht="15.75" thickBot="1" x14ac:dyDescent="0.3">
      <c r="A29" s="61" t="s">
        <v>87</v>
      </c>
      <c r="B29" s="61" t="s">
        <v>81</v>
      </c>
      <c r="C29" s="61" t="s">
        <v>158</v>
      </c>
      <c r="D29" s="61" t="s">
        <v>83</v>
      </c>
      <c r="E29" s="61">
        <v>1</v>
      </c>
      <c r="F29" s="62" t="s">
        <v>163</v>
      </c>
      <c r="G29" s="62" t="s">
        <v>164</v>
      </c>
      <c r="H29" s="63">
        <v>44294</v>
      </c>
      <c r="I29" s="64">
        <v>0.44791666666666669</v>
      </c>
      <c r="J29" s="65">
        <v>10.8</v>
      </c>
      <c r="K29" s="66">
        <v>7.343</v>
      </c>
      <c r="L29" s="67">
        <v>2.1</v>
      </c>
      <c r="M29" s="62">
        <f t="shared" si="4"/>
        <v>3.6983000000000001</v>
      </c>
      <c r="N29" s="67">
        <v>-36.4</v>
      </c>
      <c r="O29" s="67">
        <v>16</v>
      </c>
      <c r="P29" s="68">
        <v>1960873233.404711</v>
      </c>
      <c r="Q29" s="69">
        <v>3.2</v>
      </c>
      <c r="R29" s="70">
        <v>20.399999999999999</v>
      </c>
      <c r="S29" s="70">
        <v>1.8666666666666667</v>
      </c>
      <c r="T29" s="71">
        <v>28.4</v>
      </c>
      <c r="U29" s="72">
        <v>17.90953996148906</v>
      </c>
      <c r="V29" s="70">
        <v>65.915148794706553</v>
      </c>
      <c r="W29" s="73">
        <f t="shared" si="0"/>
        <v>21.365471470558056</v>
      </c>
      <c r="X29" s="115">
        <v>4855.88</v>
      </c>
      <c r="Y29" s="116">
        <v>21.07</v>
      </c>
      <c r="Z29" s="116">
        <v>0.11</v>
      </c>
      <c r="AA29" s="116">
        <v>8.6999999999999993</v>
      </c>
      <c r="AB29" s="116">
        <v>29.8</v>
      </c>
      <c r="AC29" s="116">
        <v>15.02</v>
      </c>
      <c r="AD29" s="116">
        <v>28579.93</v>
      </c>
      <c r="AE29" s="116">
        <v>656.55</v>
      </c>
      <c r="AF29" s="116">
        <v>23.95</v>
      </c>
      <c r="AG29" s="116">
        <v>14.16</v>
      </c>
      <c r="AH29" s="116" t="s">
        <v>348</v>
      </c>
      <c r="AI29" s="116">
        <v>45.83</v>
      </c>
      <c r="AJ29" s="116">
        <v>104.6</v>
      </c>
      <c r="AK29" s="117">
        <v>0.08</v>
      </c>
      <c r="AL29" s="115">
        <v>0</v>
      </c>
      <c r="AM29" s="118">
        <v>0.36</v>
      </c>
      <c r="AN29" s="118">
        <v>9.2249999999999996</v>
      </c>
      <c r="AO29" s="118">
        <v>307.89999999999998</v>
      </c>
      <c r="AP29" s="117">
        <v>149.85</v>
      </c>
      <c r="AQ29" s="119">
        <v>46.883128219901856</v>
      </c>
      <c r="AR29" s="312" t="s">
        <v>276</v>
      </c>
      <c r="AS29" s="312" t="s">
        <v>277</v>
      </c>
      <c r="AT29" s="312" t="s">
        <v>278</v>
      </c>
      <c r="AU29" s="312" t="s">
        <v>279</v>
      </c>
      <c r="AV29" s="312" t="s">
        <v>276</v>
      </c>
      <c r="AW29" s="312" t="s">
        <v>280</v>
      </c>
      <c r="AX29" s="312" t="s">
        <v>281</v>
      </c>
      <c r="AY29" s="312" t="s">
        <v>267</v>
      </c>
      <c r="AZ29" s="312" t="s">
        <v>282</v>
      </c>
      <c r="BA29" s="312" t="s">
        <v>273</v>
      </c>
      <c r="BB29" s="312" t="s">
        <v>283</v>
      </c>
      <c r="BC29" s="312" t="s">
        <v>261</v>
      </c>
      <c r="BD29" s="312" t="s">
        <v>284</v>
      </c>
      <c r="BE29" s="312" t="s">
        <v>263</v>
      </c>
      <c r="BF29" s="312" t="s">
        <v>262</v>
      </c>
      <c r="BG29" s="312" t="s">
        <v>271</v>
      </c>
      <c r="BH29" s="312" t="s">
        <v>285</v>
      </c>
      <c r="BI29" s="312" t="s">
        <v>261</v>
      </c>
      <c r="BJ29" s="312" t="s">
        <v>264</v>
      </c>
      <c r="BK29" s="312" t="s">
        <v>271</v>
      </c>
      <c r="BL29" s="312" t="s">
        <v>286</v>
      </c>
      <c r="BM29" s="312" t="s">
        <v>264</v>
      </c>
      <c r="BN29" s="313">
        <v>3.3000000000000002E-2</v>
      </c>
      <c r="BO29" s="312" t="s">
        <v>274</v>
      </c>
      <c r="BP29" s="312" t="s">
        <v>254</v>
      </c>
      <c r="BQ29" s="312" t="s">
        <v>273</v>
      </c>
      <c r="BR29" s="312" t="s">
        <v>254</v>
      </c>
      <c r="BS29" s="312" t="s">
        <v>264</v>
      </c>
      <c r="BT29" s="312" t="s">
        <v>272</v>
      </c>
      <c r="BU29" s="312" t="s">
        <v>271</v>
      </c>
      <c r="BV29" s="312" t="s">
        <v>287</v>
      </c>
      <c r="BW29" s="312" t="s">
        <v>265</v>
      </c>
      <c r="BX29" s="312" t="s">
        <v>254</v>
      </c>
      <c r="BY29" s="312" t="s">
        <v>288</v>
      </c>
      <c r="BZ29" s="312" t="s">
        <v>289</v>
      </c>
      <c r="CA29" s="61">
        <v>67.148510543951616</v>
      </c>
      <c r="CB29" s="115">
        <v>1.9930000000000001</v>
      </c>
      <c r="CC29" s="118">
        <v>9.4909999999999997</v>
      </c>
      <c r="CD29" s="73">
        <v>51.856999999999999</v>
      </c>
      <c r="CE29" s="115">
        <v>8.4126799999999999</v>
      </c>
      <c r="CF29" s="118">
        <v>80.168641000000008</v>
      </c>
      <c r="CG29" s="73">
        <v>11.418678</v>
      </c>
    </row>
    <row r="30" spans="1:85" s="61" customFormat="1" ht="15.75" thickBot="1" x14ac:dyDescent="0.3">
      <c r="A30" s="61" t="s">
        <v>90</v>
      </c>
      <c r="B30" s="61" t="s">
        <v>81</v>
      </c>
      <c r="C30" s="61" t="s">
        <v>158</v>
      </c>
      <c r="D30" s="61" t="s">
        <v>83</v>
      </c>
      <c r="E30" s="61">
        <v>2</v>
      </c>
      <c r="F30" s="80" t="s">
        <v>163</v>
      </c>
      <c r="G30" s="80" t="s">
        <v>164</v>
      </c>
      <c r="H30" s="81">
        <v>44294</v>
      </c>
      <c r="I30" s="82">
        <v>0.43888888888888888</v>
      </c>
      <c r="J30" s="83">
        <v>11</v>
      </c>
      <c r="K30" s="84">
        <v>7.2279999999999998</v>
      </c>
      <c r="L30" s="85">
        <v>2</v>
      </c>
      <c r="M30" s="62">
        <f t="shared" si="4"/>
        <v>3.5428999999999999</v>
      </c>
      <c r="N30" s="85">
        <v>-29.9</v>
      </c>
      <c r="O30" s="85">
        <v>18</v>
      </c>
      <c r="P30" s="86">
        <v>1939611134.9036405</v>
      </c>
      <c r="Q30" s="87">
        <v>3.2</v>
      </c>
      <c r="R30" s="88">
        <v>16.8</v>
      </c>
      <c r="S30" s="88">
        <v>2.2666666666666666</v>
      </c>
      <c r="T30" s="89">
        <v>24.177777777777777</v>
      </c>
      <c r="U30" s="90">
        <v>14.27807095995942</v>
      </c>
      <c r="V30" s="88">
        <v>72.244268975554164</v>
      </c>
      <c r="W30" s="91">
        <f t="shared" si="0"/>
        <v>16.502178478530613</v>
      </c>
      <c r="X30" s="95">
        <v>4944.7</v>
      </c>
      <c r="Y30" s="120">
        <v>18.78</v>
      </c>
      <c r="Z30" s="120">
        <v>0.1</v>
      </c>
      <c r="AA30" s="120">
        <v>8.76</v>
      </c>
      <c r="AB30" s="120">
        <v>28.44</v>
      </c>
      <c r="AC30" s="120">
        <v>14</v>
      </c>
      <c r="AD30" s="120">
        <v>26869.95</v>
      </c>
      <c r="AE30" s="120">
        <v>619.75</v>
      </c>
      <c r="AF30" s="120">
        <v>22.66</v>
      </c>
      <c r="AG30" s="120">
        <v>14.28</v>
      </c>
      <c r="AH30" s="120" t="s">
        <v>348</v>
      </c>
      <c r="AI30" s="120">
        <v>43.89</v>
      </c>
      <c r="AJ30" s="120">
        <v>89.62</v>
      </c>
      <c r="AK30" s="121">
        <v>0.08</v>
      </c>
      <c r="AL30" s="95">
        <v>0</v>
      </c>
      <c r="AM30" s="96">
        <v>0.46200000000000002</v>
      </c>
      <c r="AN30" s="96">
        <v>10.414</v>
      </c>
      <c r="AO30" s="96">
        <v>354.08300000000003</v>
      </c>
      <c r="AP30" s="121">
        <v>144.61699999999999</v>
      </c>
      <c r="AQ30" s="122">
        <v>64.289775523518017</v>
      </c>
      <c r="AR30" s="312" t="s">
        <v>276</v>
      </c>
      <c r="AS30" s="312" t="s">
        <v>277</v>
      </c>
      <c r="AT30" s="312" t="s">
        <v>278</v>
      </c>
      <c r="AU30" s="312" t="s">
        <v>279</v>
      </c>
      <c r="AV30" s="312" t="s">
        <v>276</v>
      </c>
      <c r="AW30" s="312" t="s">
        <v>280</v>
      </c>
      <c r="AX30" s="312" t="s">
        <v>281</v>
      </c>
      <c r="AY30" s="312" t="s">
        <v>267</v>
      </c>
      <c r="AZ30" s="312" t="s">
        <v>282</v>
      </c>
      <c r="BA30" s="312" t="s">
        <v>273</v>
      </c>
      <c r="BB30" s="312" t="s">
        <v>283</v>
      </c>
      <c r="BC30" s="312" t="s">
        <v>261</v>
      </c>
      <c r="BD30" s="312" t="s">
        <v>284</v>
      </c>
      <c r="BE30" s="312" t="s">
        <v>263</v>
      </c>
      <c r="BF30" s="312" t="s">
        <v>262</v>
      </c>
      <c r="BG30" s="312" t="s">
        <v>271</v>
      </c>
      <c r="BH30" s="312" t="s">
        <v>285</v>
      </c>
      <c r="BI30" s="312" t="s">
        <v>261</v>
      </c>
      <c r="BJ30" s="312" t="s">
        <v>264</v>
      </c>
      <c r="BK30" s="312" t="s">
        <v>271</v>
      </c>
      <c r="BL30" s="312" t="s">
        <v>286</v>
      </c>
      <c r="BM30" s="312" t="s">
        <v>264</v>
      </c>
      <c r="BN30" s="313">
        <v>3.3000000000000002E-2</v>
      </c>
      <c r="BO30" s="312" t="s">
        <v>274</v>
      </c>
      <c r="BP30" s="312" t="s">
        <v>254</v>
      </c>
      <c r="BQ30" s="312" t="s">
        <v>273</v>
      </c>
      <c r="BR30" s="312" t="s">
        <v>254</v>
      </c>
      <c r="BS30" s="312" t="s">
        <v>264</v>
      </c>
      <c r="BT30" s="312" t="s">
        <v>272</v>
      </c>
      <c r="BU30" s="312" t="s">
        <v>271</v>
      </c>
      <c r="BV30" s="312" t="s">
        <v>287</v>
      </c>
      <c r="BW30" s="312" t="s">
        <v>265</v>
      </c>
      <c r="BX30" s="312" t="s">
        <v>254</v>
      </c>
      <c r="BY30" s="312" t="s">
        <v>288</v>
      </c>
      <c r="BZ30" s="312" t="s">
        <v>289</v>
      </c>
      <c r="CA30" s="61">
        <v>65.909756467723895</v>
      </c>
      <c r="CB30" s="95">
        <v>2.073</v>
      </c>
      <c r="CC30" s="96">
        <v>8.4459999999999997</v>
      </c>
      <c r="CD30" s="91">
        <v>84.945999999999998</v>
      </c>
      <c r="CE30" s="95">
        <v>7.8165000000000004</v>
      </c>
      <c r="CF30" s="96">
        <v>77.493976000000004</v>
      </c>
      <c r="CG30" s="91">
        <v>14.689522999999996</v>
      </c>
    </row>
    <row r="31" spans="1:85" s="61" customFormat="1" ht="15.75" thickBot="1" x14ac:dyDescent="0.3">
      <c r="A31" s="61" t="s">
        <v>91</v>
      </c>
      <c r="B31" s="61" t="s">
        <v>81</v>
      </c>
      <c r="C31" s="61" t="s">
        <v>158</v>
      </c>
      <c r="D31" s="61" t="s">
        <v>83</v>
      </c>
      <c r="E31" s="61">
        <v>3</v>
      </c>
      <c r="F31" s="97" t="s">
        <v>163</v>
      </c>
      <c r="G31" s="97" t="s">
        <v>164</v>
      </c>
      <c r="H31" s="98">
        <v>44294</v>
      </c>
      <c r="I31" s="99">
        <v>0.41250000000000003</v>
      </c>
      <c r="J31" s="100">
        <v>10.7</v>
      </c>
      <c r="K31" s="101">
        <v>7.28</v>
      </c>
      <c r="L31" s="102">
        <v>2</v>
      </c>
      <c r="M31" s="62">
        <f t="shared" si="4"/>
        <v>3.5428999999999999</v>
      </c>
      <c r="N31" s="102">
        <v>-33</v>
      </c>
      <c r="O31" s="102">
        <v>18</v>
      </c>
      <c r="P31" s="103">
        <v>1650510064.2398288</v>
      </c>
      <c r="Q31" s="104">
        <v>2.1333333333333333</v>
      </c>
      <c r="R31" s="105">
        <v>19.866666666666667</v>
      </c>
      <c r="S31" s="105">
        <v>0.93333333333333335</v>
      </c>
      <c r="T31" s="106">
        <v>24.222222222222221</v>
      </c>
      <c r="U31" s="107">
        <v>21.760633036597422</v>
      </c>
      <c r="V31" s="105">
        <v>54.076471035800772</v>
      </c>
      <c r="W31" s="108">
        <f t="shared" si="0"/>
        <v>28.693913490978701</v>
      </c>
      <c r="X31" s="123">
        <v>5021.68</v>
      </c>
      <c r="Y31" s="124">
        <v>19.64</v>
      </c>
      <c r="Z31" s="124">
        <v>0.1</v>
      </c>
      <c r="AA31" s="124">
        <v>8.8800000000000008</v>
      </c>
      <c r="AB31" s="124">
        <v>31.03</v>
      </c>
      <c r="AC31" s="124">
        <v>14.39</v>
      </c>
      <c r="AD31" s="124">
        <v>29365.85</v>
      </c>
      <c r="AE31" s="124">
        <v>647.61</v>
      </c>
      <c r="AF31" s="124">
        <v>23.86</v>
      </c>
      <c r="AG31" s="124">
        <v>13.89</v>
      </c>
      <c r="AH31" s="124" t="s">
        <v>348</v>
      </c>
      <c r="AI31" s="124">
        <v>44.04</v>
      </c>
      <c r="AJ31" s="124">
        <v>93.07</v>
      </c>
      <c r="AK31" s="125">
        <v>0.08</v>
      </c>
      <c r="AL31" s="123">
        <v>0</v>
      </c>
      <c r="AM31" s="126">
        <v>0.30299999999999999</v>
      </c>
      <c r="AN31" s="126">
        <v>4.5940000000000003</v>
      </c>
      <c r="AO31" s="126">
        <v>362.50599999999997</v>
      </c>
      <c r="AP31" s="125">
        <v>155.958</v>
      </c>
      <c r="AQ31" s="127">
        <v>43.868395896030577</v>
      </c>
      <c r="AR31" s="312" t="s">
        <v>276</v>
      </c>
      <c r="AS31" s="312" t="s">
        <v>277</v>
      </c>
      <c r="AT31" s="312" t="s">
        <v>278</v>
      </c>
      <c r="AU31" s="312" t="s">
        <v>279</v>
      </c>
      <c r="AV31" s="312" t="s">
        <v>276</v>
      </c>
      <c r="AW31" s="312" t="s">
        <v>280</v>
      </c>
      <c r="AX31" s="312" t="s">
        <v>281</v>
      </c>
      <c r="AY31" s="312" t="s">
        <v>267</v>
      </c>
      <c r="AZ31" s="312" t="s">
        <v>282</v>
      </c>
      <c r="BA31" s="312" t="s">
        <v>273</v>
      </c>
      <c r="BB31" s="312" t="s">
        <v>283</v>
      </c>
      <c r="BC31" s="312" t="s">
        <v>261</v>
      </c>
      <c r="BD31" s="312" t="s">
        <v>284</v>
      </c>
      <c r="BE31" s="312" t="s">
        <v>263</v>
      </c>
      <c r="BF31" s="312" t="s">
        <v>262</v>
      </c>
      <c r="BG31" s="312" t="s">
        <v>271</v>
      </c>
      <c r="BH31" s="312" t="s">
        <v>285</v>
      </c>
      <c r="BI31" s="312" t="s">
        <v>261</v>
      </c>
      <c r="BJ31" s="312" t="s">
        <v>264</v>
      </c>
      <c r="BK31" s="312" t="s">
        <v>271</v>
      </c>
      <c r="BL31" s="312" t="s">
        <v>286</v>
      </c>
      <c r="BM31" s="312" t="s">
        <v>264</v>
      </c>
      <c r="BN31" s="313">
        <v>3.3000000000000002E-2</v>
      </c>
      <c r="BO31" s="312" t="s">
        <v>274</v>
      </c>
      <c r="BP31" s="312" t="s">
        <v>254</v>
      </c>
      <c r="BQ31" s="312" t="s">
        <v>273</v>
      </c>
      <c r="BR31" s="312" t="s">
        <v>254</v>
      </c>
      <c r="BS31" s="312" t="s">
        <v>264</v>
      </c>
      <c r="BT31" s="312" t="s">
        <v>272</v>
      </c>
      <c r="BU31" s="312" t="s">
        <v>271</v>
      </c>
      <c r="BV31" s="312" t="s">
        <v>287</v>
      </c>
      <c r="BW31" s="312" t="s">
        <v>265</v>
      </c>
      <c r="BX31" s="312" t="s">
        <v>254</v>
      </c>
      <c r="BY31" s="312" t="s">
        <v>288</v>
      </c>
      <c r="BZ31" s="312" t="s">
        <v>289</v>
      </c>
      <c r="CA31" s="61">
        <v>67.792783172903313</v>
      </c>
      <c r="CB31" s="123">
        <v>1.8180000000000001</v>
      </c>
      <c r="CC31" s="126">
        <v>7.6</v>
      </c>
      <c r="CD31" s="108">
        <v>39.042999999999999</v>
      </c>
      <c r="CE31" s="123">
        <v>9.7887599999999999</v>
      </c>
      <c r="CF31" s="126">
        <v>81.750907999999995</v>
      </c>
      <c r="CG31" s="108">
        <v>8.4603329999999985</v>
      </c>
    </row>
    <row r="32" spans="1:85" s="61" customFormat="1" ht="15.75" thickBot="1" x14ac:dyDescent="0.3">
      <c r="A32" s="61" t="s">
        <v>92</v>
      </c>
      <c r="B32" s="61" t="s">
        <v>75</v>
      </c>
      <c r="C32" s="61" t="s">
        <v>158</v>
      </c>
      <c r="D32" s="61" t="s">
        <v>84</v>
      </c>
      <c r="E32" s="61">
        <v>1</v>
      </c>
      <c r="F32" s="62" t="s">
        <v>165</v>
      </c>
      <c r="G32" s="62" t="s">
        <v>166</v>
      </c>
      <c r="H32" s="63">
        <v>44298</v>
      </c>
      <c r="I32" s="64">
        <v>0.42291666666666666</v>
      </c>
      <c r="J32" s="65">
        <v>11.1</v>
      </c>
      <c r="K32" s="66">
        <v>7.4450000000000003</v>
      </c>
      <c r="L32" s="67">
        <v>33.9</v>
      </c>
      <c r="M32" s="62">
        <f t="shared" si="4"/>
        <v>53.115499999999997</v>
      </c>
      <c r="N32" s="67">
        <v>-40.700000000000003</v>
      </c>
      <c r="O32" s="67">
        <v>8</v>
      </c>
      <c r="P32" s="68">
        <v>10837958029.978588</v>
      </c>
      <c r="Q32" s="69">
        <v>174.53333333333333</v>
      </c>
      <c r="R32" s="70">
        <v>4</v>
      </c>
      <c r="S32" s="70">
        <v>0.93333333333333335</v>
      </c>
      <c r="T32" s="71">
        <v>180.3111111111111</v>
      </c>
      <c r="U32" s="72">
        <v>16.675110371281757</v>
      </c>
      <c r="V32" s="70">
        <v>28.072857108393038</v>
      </c>
      <c r="W32" s="73">
        <f t="shared" si="0"/>
        <v>37.26450900558968</v>
      </c>
      <c r="X32" s="115">
        <v>4301.97</v>
      </c>
      <c r="Y32" s="116">
        <v>10.99</v>
      </c>
      <c r="Z32" s="116">
        <v>0.12</v>
      </c>
      <c r="AA32" s="116">
        <v>4.0599999999999996</v>
      </c>
      <c r="AB32" s="116">
        <v>18.54</v>
      </c>
      <c r="AC32" s="116">
        <v>9.49</v>
      </c>
      <c r="AD32" s="116">
        <v>15004.82</v>
      </c>
      <c r="AE32" s="116">
        <v>200.29</v>
      </c>
      <c r="AF32" s="116">
        <v>10.98</v>
      </c>
      <c r="AG32" s="116">
        <v>10.33</v>
      </c>
      <c r="AH32" s="116" t="s">
        <v>348</v>
      </c>
      <c r="AI32" s="116">
        <v>26.27</v>
      </c>
      <c r="AJ32" s="116">
        <v>59.59</v>
      </c>
      <c r="AK32" s="117">
        <v>0.06</v>
      </c>
      <c r="AL32" s="115">
        <v>0</v>
      </c>
      <c r="AM32" s="118">
        <v>1.4019999999999999</v>
      </c>
      <c r="AN32" s="118">
        <v>14.906000000000001</v>
      </c>
      <c r="AO32" s="118">
        <v>142.55199999999999</v>
      </c>
      <c r="AP32" s="117">
        <v>130.33600000000001</v>
      </c>
      <c r="AQ32" s="119">
        <v>34.523089703698496</v>
      </c>
      <c r="AR32" s="313">
        <v>8.9999999999999993E-3</v>
      </c>
      <c r="AS32" s="312" t="s">
        <v>290</v>
      </c>
      <c r="AT32" s="312" t="s">
        <v>291</v>
      </c>
      <c r="AU32" s="312" t="s">
        <v>292</v>
      </c>
      <c r="AV32" s="312" t="s">
        <v>293</v>
      </c>
      <c r="AW32" s="312" t="s">
        <v>294</v>
      </c>
      <c r="AX32" s="312" t="s">
        <v>295</v>
      </c>
      <c r="AY32" s="312" t="s">
        <v>257</v>
      </c>
      <c r="AZ32" s="312" t="s">
        <v>296</v>
      </c>
      <c r="BA32" s="312" t="s">
        <v>297</v>
      </c>
      <c r="BB32" s="312" t="s">
        <v>298</v>
      </c>
      <c r="BC32" s="312" t="s">
        <v>261</v>
      </c>
      <c r="BD32" s="312" t="s">
        <v>299</v>
      </c>
      <c r="BE32" s="312" t="s">
        <v>300</v>
      </c>
      <c r="BF32" s="313">
        <v>6.8000000000000005E-2</v>
      </c>
      <c r="BG32" s="312" t="s">
        <v>264</v>
      </c>
      <c r="BH32" s="312" t="s">
        <v>268</v>
      </c>
      <c r="BI32" s="312" t="s">
        <v>261</v>
      </c>
      <c r="BJ32" s="312" t="s">
        <v>267</v>
      </c>
      <c r="BK32" s="312" t="s">
        <v>264</v>
      </c>
      <c r="BL32" s="312" t="s">
        <v>301</v>
      </c>
      <c r="BM32" s="312" t="s">
        <v>267</v>
      </c>
      <c r="BN32" s="312" t="s">
        <v>302</v>
      </c>
      <c r="BO32" s="312" t="s">
        <v>303</v>
      </c>
      <c r="BP32" s="313">
        <v>0.01</v>
      </c>
      <c r="BQ32" s="312" t="s">
        <v>268</v>
      </c>
      <c r="BR32" s="312" t="s">
        <v>254</v>
      </c>
      <c r="BS32" s="312" t="s">
        <v>250</v>
      </c>
      <c r="BT32" s="312" t="s">
        <v>302</v>
      </c>
      <c r="BU32" s="313">
        <v>0.03</v>
      </c>
      <c r="BV32" s="312" t="s">
        <v>269</v>
      </c>
      <c r="BW32" s="312" t="s">
        <v>265</v>
      </c>
      <c r="BX32" s="312" t="s">
        <v>304</v>
      </c>
      <c r="BY32" s="312" t="s">
        <v>305</v>
      </c>
      <c r="BZ32" s="312" t="s">
        <v>254</v>
      </c>
      <c r="CA32" s="61">
        <v>47.641596249285598</v>
      </c>
      <c r="CB32" s="77">
        <v>2.4860000000000002</v>
      </c>
      <c r="CC32" s="78">
        <v>10.581</v>
      </c>
      <c r="CD32" s="79">
        <v>133.86500000000001</v>
      </c>
      <c r="CE32" s="77">
        <v>5.7698309999999999</v>
      </c>
      <c r="CF32" s="78">
        <v>68.995127999999994</v>
      </c>
      <c r="CG32" s="79">
        <v>25.235039999999998</v>
      </c>
    </row>
    <row r="33" spans="1:85" s="61" customFormat="1" ht="15.75" thickBot="1" x14ac:dyDescent="0.3">
      <c r="A33" s="61" t="s">
        <v>93</v>
      </c>
      <c r="B33" s="61" t="s">
        <v>75</v>
      </c>
      <c r="C33" s="61" t="s">
        <v>158</v>
      </c>
      <c r="D33" s="61" t="s">
        <v>84</v>
      </c>
      <c r="E33" s="61">
        <v>2</v>
      </c>
      <c r="F33" s="80" t="s">
        <v>165</v>
      </c>
      <c r="G33" s="80" t="s">
        <v>166</v>
      </c>
      <c r="H33" s="81">
        <v>44298</v>
      </c>
      <c r="I33" s="82">
        <v>0.42708333333333331</v>
      </c>
      <c r="J33" s="83">
        <v>10</v>
      </c>
      <c r="K33" s="84">
        <v>7.8410000000000002</v>
      </c>
      <c r="L33" s="85">
        <v>33.6</v>
      </c>
      <c r="M33" s="62">
        <f t="shared" si="4"/>
        <v>52.649300000000004</v>
      </c>
      <c r="N33" s="85">
        <v>-62.5</v>
      </c>
      <c r="O33" s="85">
        <v>6.6</v>
      </c>
      <c r="P33" s="86">
        <v>1846629122.0556746</v>
      </c>
      <c r="Q33" s="87">
        <v>116.53333333333333</v>
      </c>
      <c r="R33" s="88">
        <v>4.8</v>
      </c>
      <c r="S33" s="88">
        <v>2.1333333333333333</v>
      </c>
      <c r="T33" s="89">
        <v>125.60000000000001</v>
      </c>
      <c r="U33" s="90">
        <v>4.1701863443724871</v>
      </c>
      <c r="V33" s="88">
        <v>6.2030122332056514</v>
      </c>
      <c r="W33" s="91">
        <f t="shared" si="0"/>
        <v>40.201547412641098</v>
      </c>
      <c r="X33" s="95">
        <v>4243.43</v>
      </c>
      <c r="Y33" s="120">
        <v>14.34</v>
      </c>
      <c r="Z33" s="120">
        <v>0.09</v>
      </c>
      <c r="AA33" s="120">
        <v>4.03</v>
      </c>
      <c r="AB33" s="120">
        <v>16.309999999999999</v>
      </c>
      <c r="AC33" s="120">
        <v>7.44</v>
      </c>
      <c r="AD33" s="120">
        <v>15860.23</v>
      </c>
      <c r="AE33" s="120">
        <v>215.63</v>
      </c>
      <c r="AF33" s="120">
        <v>11.07</v>
      </c>
      <c r="AG33" s="120">
        <v>9.18</v>
      </c>
      <c r="AH33" s="120" t="s">
        <v>348</v>
      </c>
      <c r="AI33" s="120">
        <v>26.04</v>
      </c>
      <c r="AJ33" s="120">
        <v>41.65</v>
      </c>
      <c r="AK33" s="121">
        <v>0.04</v>
      </c>
      <c r="AL33" s="95">
        <v>0.85600000000000009</v>
      </c>
      <c r="AM33" s="96">
        <v>0.76400000000000001</v>
      </c>
      <c r="AN33" s="96">
        <v>4.0199999999999996</v>
      </c>
      <c r="AO33" s="96">
        <v>103.1</v>
      </c>
      <c r="AP33" s="121">
        <v>29.308</v>
      </c>
      <c r="AQ33" s="122">
        <v>40.782846837843181</v>
      </c>
      <c r="AR33" s="313">
        <v>8.9999999999999993E-3</v>
      </c>
      <c r="AS33" s="312" t="s">
        <v>290</v>
      </c>
      <c r="AT33" s="312" t="s">
        <v>291</v>
      </c>
      <c r="AU33" s="312" t="s">
        <v>292</v>
      </c>
      <c r="AV33" s="312" t="s">
        <v>293</v>
      </c>
      <c r="AW33" s="312" t="s">
        <v>294</v>
      </c>
      <c r="AX33" s="312" t="s">
        <v>295</v>
      </c>
      <c r="AY33" s="312" t="s">
        <v>257</v>
      </c>
      <c r="AZ33" s="312" t="s">
        <v>296</v>
      </c>
      <c r="BA33" s="312" t="s">
        <v>297</v>
      </c>
      <c r="BB33" s="312" t="s">
        <v>298</v>
      </c>
      <c r="BC33" s="312" t="s">
        <v>261</v>
      </c>
      <c r="BD33" s="312" t="s">
        <v>299</v>
      </c>
      <c r="BE33" s="312" t="s">
        <v>300</v>
      </c>
      <c r="BF33" s="313">
        <v>6.8000000000000005E-2</v>
      </c>
      <c r="BG33" s="312" t="s">
        <v>264</v>
      </c>
      <c r="BH33" s="312" t="s">
        <v>268</v>
      </c>
      <c r="BI33" s="312" t="s">
        <v>261</v>
      </c>
      <c r="BJ33" s="312" t="s">
        <v>267</v>
      </c>
      <c r="BK33" s="312" t="s">
        <v>264</v>
      </c>
      <c r="BL33" s="312" t="s">
        <v>301</v>
      </c>
      <c r="BM33" s="312" t="s">
        <v>267</v>
      </c>
      <c r="BN33" s="312" t="s">
        <v>302</v>
      </c>
      <c r="BO33" s="312" t="s">
        <v>303</v>
      </c>
      <c r="BP33" s="313">
        <v>0.01</v>
      </c>
      <c r="BQ33" s="312" t="s">
        <v>268</v>
      </c>
      <c r="BR33" s="312" t="s">
        <v>254</v>
      </c>
      <c r="BS33" s="312" t="s">
        <v>250</v>
      </c>
      <c r="BT33" s="312" t="s">
        <v>302</v>
      </c>
      <c r="BU33" s="313">
        <v>0.03</v>
      </c>
      <c r="BV33" s="312" t="s">
        <v>269</v>
      </c>
      <c r="BW33" s="312" t="s">
        <v>265</v>
      </c>
      <c r="BX33" s="312" t="s">
        <v>304</v>
      </c>
      <c r="BY33" s="312" t="s">
        <v>305</v>
      </c>
      <c r="BZ33" s="312" t="s">
        <v>254</v>
      </c>
      <c r="CA33" s="61">
        <v>40.4432741456271</v>
      </c>
      <c r="CB33" s="95">
        <v>2.1789999999999998</v>
      </c>
      <c r="CC33" s="96">
        <v>10.157</v>
      </c>
      <c r="CD33" s="91">
        <v>121.43899999999999</v>
      </c>
      <c r="CE33" s="95">
        <v>7.2951819999999996</v>
      </c>
      <c r="CF33" s="96">
        <v>66.364940000000004</v>
      </c>
      <c r="CG33" s="91">
        <v>26.339876000000004</v>
      </c>
    </row>
    <row r="34" spans="1:85" s="61" customFormat="1" ht="15.75" thickBot="1" x14ac:dyDescent="0.3">
      <c r="A34" s="61" t="s">
        <v>94</v>
      </c>
      <c r="B34" s="61" t="s">
        <v>75</v>
      </c>
      <c r="C34" s="61" t="s">
        <v>158</v>
      </c>
      <c r="D34" s="61" t="s">
        <v>84</v>
      </c>
      <c r="E34" s="61">
        <v>3</v>
      </c>
      <c r="F34" s="97" t="s">
        <v>165</v>
      </c>
      <c r="G34" s="97" t="s">
        <v>166</v>
      </c>
      <c r="H34" s="98">
        <v>44298</v>
      </c>
      <c r="I34" s="99">
        <v>0.43055555555555558</v>
      </c>
      <c r="J34" s="100">
        <v>10.199999999999999</v>
      </c>
      <c r="K34" s="101">
        <v>7.548</v>
      </c>
      <c r="L34" s="102">
        <v>34.299999999999997</v>
      </c>
      <c r="M34" s="62">
        <f t="shared" si="4"/>
        <v>53.737099999999998</v>
      </c>
      <c r="N34" s="102">
        <v>-46.8</v>
      </c>
      <c r="O34" s="102">
        <v>7.9</v>
      </c>
      <c r="P34" s="103">
        <v>11247967451.820129</v>
      </c>
      <c r="Q34" s="104">
        <v>111.2</v>
      </c>
      <c r="R34" s="105">
        <v>7.2</v>
      </c>
      <c r="S34" s="105">
        <v>3.2</v>
      </c>
      <c r="T34" s="106">
        <v>124.80000000000001</v>
      </c>
      <c r="U34" s="107">
        <v>17.235071745051009</v>
      </c>
      <c r="V34" s="105">
        <v>16.646987342487535</v>
      </c>
      <c r="W34" s="108">
        <f t="shared" si="0"/>
        <v>50.867840412302101</v>
      </c>
      <c r="X34" s="123">
        <v>3962.06</v>
      </c>
      <c r="Y34" s="124">
        <v>8.2200000000000006</v>
      </c>
      <c r="Z34" s="124">
        <v>0.11</v>
      </c>
      <c r="AA34" s="124">
        <v>3.13</v>
      </c>
      <c r="AB34" s="124">
        <v>14.54</v>
      </c>
      <c r="AC34" s="124">
        <v>7.08</v>
      </c>
      <c r="AD34" s="124">
        <v>11880.85</v>
      </c>
      <c r="AE34" s="124">
        <v>177.61</v>
      </c>
      <c r="AF34" s="124">
        <v>8.2200000000000006</v>
      </c>
      <c r="AG34" s="124">
        <v>9.06</v>
      </c>
      <c r="AH34" s="124" t="s">
        <v>348</v>
      </c>
      <c r="AI34" s="124">
        <v>20.43</v>
      </c>
      <c r="AJ34" s="124">
        <v>46.88</v>
      </c>
      <c r="AK34" s="125">
        <v>0.04</v>
      </c>
      <c r="AL34" s="123">
        <v>0.30200000000000005</v>
      </c>
      <c r="AM34" s="126">
        <v>1.248</v>
      </c>
      <c r="AN34" s="126">
        <v>25.844000000000001</v>
      </c>
      <c r="AO34" s="126">
        <v>162.274</v>
      </c>
      <c r="AP34" s="125">
        <v>167.80799999999999</v>
      </c>
      <c r="AQ34" s="127">
        <v>43.671348312927151</v>
      </c>
      <c r="AR34" s="313">
        <v>8.9999999999999993E-3</v>
      </c>
      <c r="AS34" s="312" t="s">
        <v>290</v>
      </c>
      <c r="AT34" s="312" t="s">
        <v>291</v>
      </c>
      <c r="AU34" s="312" t="s">
        <v>292</v>
      </c>
      <c r="AV34" s="312" t="s">
        <v>293</v>
      </c>
      <c r="AW34" s="312" t="s">
        <v>294</v>
      </c>
      <c r="AX34" s="312" t="s">
        <v>295</v>
      </c>
      <c r="AY34" s="312" t="s">
        <v>257</v>
      </c>
      <c r="AZ34" s="312" t="s">
        <v>296</v>
      </c>
      <c r="BA34" s="312" t="s">
        <v>297</v>
      </c>
      <c r="BB34" s="312" t="s">
        <v>298</v>
      </c>
      <c r="BC34" s="312" t="s">
        <v>261</v>
      </c>
      <c r="BD34" s="312" t="s">
        <v>299</v>
      </c>
      <c r="BE34" s="312" t="s">
        <v>300</v>
      </c>
      <c r="BF34" s="313">
        <v>6.8000000000000005E-2</v>
      </c>
      <c r="BG34" s="312" t="s">
        <v>264</v>
      </c>
      <c r="BH34" s="312" t="s">
        <v>268</v>
      </c>
      <c r="BI34" s="312" t="s">
        <v>261</v>
      </c>
      <c r="BJ34" s="312" t="s">
        <v>267</v>
      </c>
      <c r="BK34" s="312" t="s">
        <v>264</v>
      </c>
      <c r="BL34" s="312" t="s">
        <v>301</v>
      </c>
      <c r="BM34" s="312" t="s">
        <v>267</v>
      </c>
      <c r="BN34" s="312" t="s">
        <v>302</v>
      </c>
      <c r="BO34" s="312" t="s">
        <v>303</v>
      </c>
      <c r="BP34" s="313">
        <v>0.01</v>
      </c>
      <c r="BQ34" s="312" t="s">
        <v>268</v>
      </c>
      <c r="BR34" s="312" t="s">
        <v>254</v>
      </c>
      <c r="BS34" s="312" t="s">
        <v>250</v>
      </c>
      <c r="BT34" s="312" t="s">
        <v>302</v>
      </c>
      <c r="BU34" s="313">
        <v>0.03</v>
      </c>
      <c r="BV34" s="312" t="s">
        <v>269</v>
      </c>
      <c r="BW34" s="312" t="s">
        <v>265</v>
      </c>
      <c r="BX34" s="312" t="s">
        <v>304</v>
      </c>
      <c r="BY34" s="312" t="s">
        <v>305</v>
      </c>
      <c r="BZ34" s="312" t="s">
        <v>254</v>
      </c>
      <c r="CA34" s="61">
        <v>49.671003071433582</v>
      </c>
      <c r="CB34" s="112">
        <v>2.3330000000000002</v>
      </c>
      <c r="CC34" s="113">
        <v>14.098000000000001</v>
      </c>
      <c r="CD34" s="114">
        <v>146.066</v>
      </c>
      <c r="CE34" s="112">
        <v>6.6426649999999992</v>
      </c>
      <c r="CF34" s="113">
        <v>59.627681000000003</v>
      </c>
      <c r="CG34" s="114">
        <v>33.729655000000001</v>
      </c>
    </row>
    <row r="35" spans="1:85" s="61" customFormat="1" ht="15.75" thickBot="1" x14ac:dyDescent="0.3">
      <c r="A35" s="61" t="s">
        <v>95</v>
      </c>
      <c r="B35" s="61" t="s">
        <v>76</v>
      </c>
      <c r="C35" s="61" t="s">
        <v>158</v>
      </c>
      <c r="D35" s="61" t="s">
        <v>83</v>
      </c>
      <c r="E35" s="61">
        <v>1</v>
      </c>
      <c r="F35" s="62" t="s">
        <v>167</v>
      </c>
      <c r="G35" s="62" t="s">
        <v>168</v>
      </c>
      <c r="H35" s="63">
        <v>44298</v>
      </c>
      <c r="I35" s="64">
        <v>0.52083333333333337</v>
      </c>
      <c r="J35" s="65">
        <v>12.5</v>
      </c>
      <c r="K35" s="66">
        <v>7.4370000000000003</v>
      </c>
      <c r="L35" s="67">
        <v>9.1999999999999993</v>
      </c>
      <c r="M35" s="62">
        <f t="shared" si="4"/>
        <v>14.7317</v>
      </c>
      <c r="N35" s="67">
        <v>-40.5</v>
      </c>
      <c r="O35" s="67">
        <v>6.2</v>
      </c>
      <c r="P35" s="68">
        <v>5239749152.5423727</v>
      </c>
      <c r="Q35" s="69">
        <v>14.2</v>
      </c>
      <c r="R35" s="70">
        <v>24.466666666666665</v>
      </c>
      <c r="S35" s="70">
        <v>1.1333333333333333</v>
      </c>
      <c r="T35" s="71">
        <v>41.488888888888887</v>
      </c>
      <c r="U35" s="72">
        <v>22.38879435217348</v>
      </c>
      <c r="V35" s="70">
        <v>34.295290388783293</v>
      </c>
      <c r="W35" s="73">
        <f t="shared" si="0"/>
        <v>39.49749643923699</v>
      </c>
      <c r="X35" s="115">
        <v>5256.84</v>
      </c>
      <c r="Y35" s="116">
        <v>17.3</v>
      </c>
      <c r="Z35" s="116">
        <v>0.11</v>
      </c>
      <c r="AA35" s="116">
        <v>7.87</v>
      </c>
      <c r="AB35" s="116">
        <v>30.43</v>
      </c>
      <c r="AC35" s="116">
        <v>14.56</v>
      </c>
      <c r="AD35" s="116">
        <v>27627.42</v>
      </c>
      <c r="AE35" s="116">
        <v>703.58</v>
      </c>
      <c r="AF35" s="116">
        <v>21.91</v>
      </c>
      <c r="AG35" s="116">
        <v>14.96</v>
      </c>
      <c r="AH35" s="116" t="s">
        <v>350</v>
      </c>
      <c r="AI35" s="116">
        <v>43.37</v>
      </c>
      <c r="AJ35" s="116">
        <v>100.64</v>
      </c>
      <c r="AK35" s="117">
        <v>7.0000000000000007E-2</v>
      </c>
      <c r="AL35" s="115">
        <v>5.2000000000000046E-2</v>
      </c>
      <c r="AM35" s="118">
        <v>0.57599999999999996</v>
      </c>
      <c r="AN35" s="118">
        <v>3.5840000000000001</v>
      </c>
      <c r="AO35" s="118">
        <v>211.15799999999999</v>
      </c>
      <c r="AP35" s="117">
        <v>184.32599999999999</v>
      </c>
      <c r="AQ35" s="119">
        <v>51.928438323070523</v>
      </c>
      <c r="AR35" s="312" t="s">
        <v>250</v>
      </c>
      <c r="AS35" s="312" t="s">
        <v>306</v>
      </c>
      <c r="AT35" s="312" t="s">
        <v>307</v>
      </c>
      <c r="AU35" s="312" t="s">
        <v>308</v>
      </c>
      <c r="AV35" s="312" t="s">
        <v>254</v>
      </c>
      <c r="AW35" s="312" t="s">
        <v>291</v>
      </c>
      <c r="AX35" s="312" t="s">
        <v>309</v>
      </c>
      <c r="AY35" s="312" t="s">
        <v>257</v>
      </c>
      <c r="AZ35" s="312" t="s">
        <v>310</v>
      </c>
      <c r="BA35" s="312" t="s">
        <v>259</v>
      </c>
      <c r="BB35" s="312" t="s">
        <v>311</v>
      </c>
      <c r="BC35" s="312" t="s">
        <v>257</v>
      </c>
      <c r="BD35" s="312" t="s">
        <v>312</v>
      </c>
      <c r="BE35" s="312" t="s">
        <v>262</v>
      </c>
      <c r="BF35" s="313">
        <v>8.2000000000000003E-2</v>
      </c>
      <c r="BG35" s="312" t="s">
        <v>271</v>
      </c>
      <c r="BH35" s="312" t="s">
        <v>285</v>
      </c>
      <c r="BI35" s="312" t="s">
        <v>261</v>
      </c>
      <c r="BJ35" s="312" t="s">
        <v>250</v>
      </c>
      <c r="BK35" s="312" t="s">
        <v>264</v>
      </c>
      <c r="BL35" s="312" t="s">
        <v>313</v>
      </c>
      <c r="BM35" s="312" t="s">
        <v>267</v>
      </c>
      <c r="BN35" s="313">
        <v>0.08</v>
      </c>
      <c r="BO35" s="312" t="s">
        <v>314</v>
      </c>
      <c r="BP35" s="313">
        <v>1.7000000000000001E-2</v>
      </c>
      <c r="BQ35" s="312" t="s">
        <v>285</v>
      </c>
      <c r="BR35" s="312" t="s">
        <v>272</v>
      </c>
      <c r="BS35" s="312" t="s">
        <v>264</v>
      </c>
      <c r="BT35" s="312" t="s">
        <v>315</v>
      </c>
      <c r="BU35" s="313">
        <v>5.2999999999999999E-2</v>
      </c>
      <c r="BV35" s="312" t="s">
        <v>287</v>
      </c>
      <c r="BW35" s="313">
        <v>5.0999999999999997E-2</v>
      </c>
      <c r="BX35" s="312" t="s">
        <v>293</v>
      </c>
      <c r="BY35" s="312" t="s">
        <v>316</v>
      </c>
      <c r="BZ35" s="312" t="s">
        <v>269</v>
      </c>
      <c r="CA35" s="61">
        <v>63.711458851501177</v>
      </c>
      <c r="CB35" s="115">
        <v>1.7609999999999999</v>
      </c>
      <c r="CC35" s="118">
        <v>7.7910000000000004</v>
      </c>
      <c r="CD35" s="73">
        <v>54.716999999999999</v>
      </c>
      <c r="CE35" s="115">
        <v>10.312037</v>
      </c>
      <c r="CF35" s="118">
        <v>78.266147000000004</v>
      </c>
      <c r="CG35" s="73">
        <v>11.421816</v>
      </c>
    </row>
    <row r="36" spans="1:85" s="61" customFormat="1" ht="15.75" thickBot="1" x14ac:dyDescent="0.3">
      <c r="A36" s="61" t="s">
        <v>96</v>
      </c>
      <c r="B36" s="61" t="s">
        <v>76</v>
      </c>
      <c r="C36" s="61" t="s">
        <v>158</v>
      </c>
      <c r="D36" s="61" t="s">
        <v>83</v>
      </c>
      <c r="E36" s="61">
        <v>2</v>
      </c>
      <c r="F36" s="80" t="s">
        <v>167</v>
      </c>
      <c r="G36" s="80" t="s">
        <v>168</v>
      </c>
      <c r="H36" s="81">
        <v>44298</v>
      </c>
      <c r="I36" s="82">
        <v>0.53055555555555556</v>
      </c>
      <c r="J36" s="83">
        <v>12.6</v>
      </c>
      <c r="K36" s="84">
        <v>7.4509999999999996</v>
      </c>
      <c r="L36" s="85">
        <v>9.1</v>
      </c>
      <c r="M36" s="62">
        <f t="shared" si="4"/>
        <v>14.5763</v>
      </c>
      <c r="N36" s="85">
        <v>-40.299999999999997</v>
      </c>
      <c r="O36" s="85">
        <v>6.5</v>
      </c>
      <c r="P36" s="86">
        <v>5279938983.050848</v>
      </c>
      <c r="Q36" s="87">
        <v>5.5333333333333332</v>
      </c>
      <c r="R36" s="88">
        <v>3.0666666666666669</v>
      </c>
      <c r="S36" s="88">
        <v>0.2</v>
      </c>
      <c r="T36" s="89">
        <v>9.5333333333333314</v>
      </c>
      <c r="U36" s="90">
        <v>27.179894401025344</v>
      </c>
      <c r="V36" s="88">
        <v>42.216999784601242</v>
      </c>
      <c r="W36" s="91">
        <f t="shared" si="0"/>
        <v>39.165865735032867</v>
      </c>
      <c r="X36" s="95">
        <v>5241.46</v>
      </c>
      <c r="Y36" s="120">
        <v>19.87</v>
      </c>
      <c r="Z36" s="120">
        <v>0.1</v>
      </c>
      <c r="AA36" s="120">
        <v>8.17</v>
      </c>
      <c r="AB36" s="120">
        <v>30.89</v>
      </c>
      <c r="AC36" s="120">
        <v>15.02</v>
      </c>
      <c r="AD36" s="120">
        <v>29003.96</v>
      </c>
      <c r="AE36" s="120">
        <v>582.86</v>
      </c>
      <c r="AF36" s="120">
        <v>22.79</v>
      </c>
      <c r="AG36" s="120">
        <v>14.48</v>
      </c>
      <c r="AH36" s="120" t="s">
        <v>348</v>
      </c>
      <c r="AI36" s="120">
        <v>43.21</v>
      </c>
      <c r="AJ36" s="120">
        <v>97.81</v>
      </c>
      <c r="AK36" s="121">
        <v>7.0000000000000007E-2</v>
      </c>
      <c r="AL36" s="95">
        <v>0.11799999999999999</v>
      </c>
      <c r="AM36" s="96">
        <v>0.48199999999999998</v>
      </c>
      <c r="AN36" s="96">
        <v>3.9540000000000002</v>
      </c>
      <c r="AO36" s="96">
        <v>226.21799999999999</v>
      </c>
      <c r="AP36" s="121">
        <v>221.59399999999999</v>
      </c>
      <c r="AQ36" s="122">
        <v>42.505900670683978</v>
      </c>
      <c r="AR36" s="312" t="s">
        <v>250</v>
      </c>
      <c r="AS36" s="312" t="s">
        <v>306</v>
      </c>
      <c r="AT36" s="312" t="s">
        <v>307</v>
      </c>
      <c r="AU36" s="312" t="s">
        <v>308</v>
      </c>
      <c r="AV36" s="312" t="s">
        <v>254</v>
      </c>
      <c r="AW36" s="312" t="s">
        <v>291</v>
      </c>
      <c r="AX36" s="312" t="s">
        <v>309</v>
      </c>
      <c r="AY36" s="312" t="s">
        <v>257</v>
      </c>
      <c r="AZ36" s="312" t="s">
        <v>310</v>
      </c>
      <c r="BA36" s="312" t="s">
        <v>259</v>
      </c>
      <c r="BB36" s="312" t="s">
        <v>311</v>
      </c>
      <c r="BC36" s="312" t="s">
        <v>257</v>
      </c>
      <c r="BD36" s="312" t="s">
        <v>312</v>
      </c>
      <c r="BE36" s="312" t="s">
        <v>262</v>
      </c>
      <c r="BF36" s="313">
        <v>8.2000000000000003E-2</v>
      </c>
      <c r="BG36" s="312" t="s">
        <v>271</v>
      </c>
      <c r="BH36" s="312" t="s">
        <v>285</v>
      </c>
      <c r="BI36" s="312" t="s">
        <v>261</v>
      </c>
      <c r="BJ36" s="312" t="s">
        <v>250</v>
      </c>
      <c r="BK36" s="312" t="s">
        <v>264</v>
      </c>
      <c r="BL36" s="312" t="s">
        <v>313</v>
      </c>
      <c r="BM36" s="312" t="s">
        <v>267</v>
      </c>
      <c r="BN36" s="313">
        <v>0.08</v>
      </c>
      <c r="BO36" s="312" t="s">
        <v>314</v>
      </c>
      <c r="BP36" s="313">
        <v>1.7000000000000001E-2</v>
      </c>
      <c r="BQ36" s="312" t="s">
        <v>285</v>
      </c>
      <c r="BR36" s="312" t="s">
        <v>272</v>
      </c>
      <c r="BS36" s="312" t="s">
        <v>264</v>
      </c>
      <c r="BT36" s="312" t="s">
        <v>315</v>
      </c>
      <c r="BU36" s="313">
        <v>5.2999999999999999E-2</v>
      </c>
      <c r="BV36" s="312" t="s">
        <v>287</v>
      </c>
      <c r="BW36" s="313">
        <v>5.0999999999999997E-2</v>
      </c>
      <c r="BX36" s="312" t="s">
        <v>293</v>
      </c>
      <c r="BY36" s="312" t="s">
        <v>316</v>
      </c>
      <c r="BZ36" s="312" t="s">
        <v>269</v>
      </c>
      <c r="CA36" s="61">
        <v>64.444835646750263</v>
      </c>
      <c r="CB36" s="95">
        <v>1.7949999999999999</v>
      </c>
      <c r="CC36" s="96">
        <v>7.11</v>
      </c>
      <c r="CD36" s="91">
        <v>27.463999999999999</v>
      </c>
      <c r="CE36" s="95">
        <v>10.000335</v>
      </c>
      <c r="CF36" s="96">
        <v>85.976727000000011</v>
      </c>
      <c r="CG36" s="91">
        <v>4.0229349999999995</v>
      </c>
    </row>
    <row r="37" spans="1:85" s="61" customFormat="1" ht="15.75" thickBot="1" x14ac:dyDescent="0.3">
      <c r="A37" s="61" t="s">
        <v>97</v>
      </c>
      <c r="B37" s="61" t="s">
        <v>76</v>
      </c>
      <c r="C37" s="61" t="s">
        <v>158</v>
      </c>
      <c r="D37" s="61" t="s">
        <v>83</v>
      </c>
      <c r="E37" s="61">
        <v>3</v>
      </c>
      <c r="F37" s="97" t="s">
        <v>167</v>
      </c>
      <c r="G37" s="97" t="s">
        <v>168</v>
      </c>
      <c r="H37" s="98">
        <v>44298</v>
      </c>
      <c r="I37" s="99">
        <v>0.53819444444444442</v>
      </c>
      <c r="J37" s="100">
        <v>13</v>
      </c>
      <c r="K37" s="101">
        <v>7.43</v>
      </c>
      <c r="L37" s="102">
        <v>6.8</v>
      </c>
      <c r="M37" s="62">
        <f t="shared" si="4"/>
        <v>11.0021</v>
      </c>
      <c r="N37" s="102">
        <v>-40.5</v>
      </c>
      <c r="O37" s="102">
        <v>5.5</v>
      </c>
      <c r="P37" s="103">
        <v>3889525423.7288136</v>
      </c>
      <c r="Q37" s="104">
        <v>4.4000000000000004</v>
      </c>
      <c r="R37" s="105">
        <v>23.066666666666666</v>
      </c>
      <c r="S37" s="105">
        <v>1.8</v>
      </c>
      <c r="T37" s="106">
        <v>30</v>
      </c>
      <c r="U37" s="107">
        <v>11.52348019165963</v>
      </c>
      <c r="V37" s="105">
        <v>25.84963953440127</v>
      </c>
      <c r="W37" s="108">
        <f t="shared" si="0"/>
        <v>30.83360521178037</v>
      </c>
      <c r="X37" s="123">
        <v>5083.0600000000004</v>
      </c>
      <c r="Y37" s="124">
        <v>18.809999999999999</v>
      </c>
      <c r="Z37" s="124">
        <v>0.1</v>
      </c>
      <c r="AA37" s="124">
        <v>7.67</v>
      </c>
      <c r="AB37" s="124">
        <v>29.71</v>
      </c>
      <c r="AC37" s="124">
        <v>13.56</v>
      </c>
      <c r="AD37" s="124">
        <v>26922.48</v>
      </c>
      <c r="AE37" s="124">
        <v>734.73</v>
      </c>
      <c r="AF37" s="124">
        <v>21.74</v>
      </c>
      <c r="AG37" s="124">
        <v>13.81</v>
      </c>
      <c r="AH37" s="124" t="s">
        <v>349</v>
      </c>
      <c r="AI37" s="124">
        <v>41.91</v>
      </c>
      <c r="AJ37" s="124">
        <v>88.21</v>
      </c>
      <c r="AK37" s="125">
        <v>0.06</v>
      </c>
      <c r="AL37" s="123">
        <v>0</v>
      </c>
      <c r="AM37" s="126">
        <v>0.40400000000000003</v>
      </c>
      <c r="AN37" s="126">
        <v>1.9019999999999999</v>
      </c>
      <c r="AO37" s="126">
        <v>246.452</v>
      </c>
      <c r="AP37" s="125">
        <v>142.33600000000001</v>
      </c>
      <c r="AQ37" s="127">
        <v>37.940316843030743</v>
      </c>
      <c r="AR37" s="312" t="s">
        <v>250</v>
      </c>
      <c r="AS37" s="312" t="s">
        <v>306</v>
      </c>
      <c r="AT37" s="312" t="s">
        <v>307</v>
      </c>
      <c r="AU37" s="312" t="s">
        <v>308</v>
      </c>
      <c r="AV37" s="312" t="s">
        <v>254</v>
      </c>
      <c r="AW37" s="312" t="s">
        <v>291</v>
      </c>
      <c r="AX37" s="312" t="s">
        <v>309</v>
      </c>
      <c r="AY37" s="312" t="s">
        <v>257</v>
      </c>
      <c r="AZ37" s="312" t="s">
        <v>310</v>
      </c>
      <c r="BA37" s="312" t="s">
        <v>259</v>
      </c>
      <c r="BB37" s="312" t="s">
        <v>311</v>
      </c>
      <c r="BC37" s="312" t="s">
        <v>257</v>
      </c>
      <c r="BD37" s="312" t="s">
        <v>312</v>
      </c>
      <c r="BE37" s="312" t="s">
        <v>262</v>
      </c>
      <c r="BF37" s="313">
        <v>8.2000000000000003E-2</v>
      </c>
      <c r="BG37" s="312" t="s">
        <v>271</v>
      </c>
      <c r="BH37" s="312" t="s">
        <v>285</v>
      </c>
      <c r="BI37" s="312" t="s">
        <v>261</v>
      </c>
      <c r="BJ37" s="312" t="s">
        <v>250</v>
      </c>
      <c r="BK37" s="312" t="s">
        <v>264</v>
      </c>
      <c r="BL37" s="312" t="s">
        <v>313</v>
      </c>
      <c r="BM37" s="312" t="s">
        <v>267</v>
      </c>
      <c r="BN37" s="313">
        <v>0.08</v>
      </c>
      <c r="BO37" s="312" t="s">
        <v>314</v>
      </c>
      <c r="BP37" s="313">
        <v>1.7000000000000001E-2</v>
      </c>
      <c r="BQ37" s="312" t="s">
        <v>285</v>
      </c>
      <c r="BR37" s="312" t="s">
        <v>272</v>
      </c>
      <c r="BS37" s="312" t="s">
        <v>264</v>
      </c>
      <c r="BT37" s="312" t="s">
        <v>315</v>
      </c>
      <c r="BU37" s="313">
        <v>5.2999999999999999E-2</v>
      </c>
      <c r="BV37" s="312" t="s">
        <v>287</v>
      </c>
      <c r="BW37" s="313">
        <v>5.0999999999999997E-2</v>
      </c>
      <c r="BX37" s="312" t="s">
        <v>293</v>
      </c>
      <c r="BY37" s="312" t="s">
        <v>316</v>
      </c>
      <c r="BZ37" s="312" t="s">
        <v>269</v>
      </c>
      <c r="CA37" s="61">
        <v>60.356751729000699</v>
      </c>
      <c r="CB37" s="123">
        <v>1.768</v>
      </c>
      <c r="CC37" s="126">
        <v>8.6890000000000001</v>
      </c>
      <c r="CD37" s="108">
        <v>97.85</v>
      </c>
      <c r="CE37" s="123">
        <v>10.241710999999999</v>
      </c>
      <c r="CF37" s="126">
        <v>73.913160999999988</v>
      </c>
      <c r="CG37" s="108">
        <v>15.845130000000003</v>
      </c>
    </row>
    <row r="38" spans="1:85" s="61" customFormat="1" ht="15.75" thickBot="1" x14ac:dyDescent="0.3">
      <c r="A38" s="61" t="s">
        <v>98</v>
      </c>
      <c r="B38" s="61" t="s">
        <v>77</v>
      </c>
      <c r="C38" s="61" t="s">
        <v>158</v>
      </c>
      <c r="D38" s="61" t="s">
        <v>84</v>
      </c>
      <c r="E38" s="61">
        <v>1</v>
      </c>
      <c r="F38" s="62" t="s">
        <v>169</v>
      </c>
      <c r="G38" s="62" t="s">
        <v>170</v>
      </c>
      <c r="H38" s="63">
        <v>44299</v>
      </c>
      <c r="I38" s="64">
        <v>0.47638888888888892</v>
      </c>
      <c r="J38" s="65">
        <v>11.4</v>
      </c>
      <c r="K38" s="66">
        <v>7.6660000000000004</v>
      </c>
      <c r="L38" s="67">
        <v>29.7</v>
      </c>
      <c r="M38" s="62">
        <f t="shared" si="4"/>
        <v>46.588699999999996</v>
      </c>
      <c r="N38" s="67">
        <v>-52</v>
      </c>
      <c r="O38" s="67">
        <v>9.6</v>
      </c>
      <c r="P38" s="68">
        <v>4015124192.3905244</v>
      </c>
      <c r="Q38" s="69">
        <v>63.2</v>
      </c>
      <c r="R38" s="70">
        <v>2.6666666666666665</v>
      </c>
      <c r="S38" s="70">
        <v>2.1333333333333333</v>
      </c>
      <c r="T38" s="71">
        <v>69.822222222222237</v>
      </c>
      <c r="U38" s="72">
        <v>8.4272412619238608</v>
      </c>
      <c r="V38" s="70">
        <v>13.533932590982012</v>
      </c>
      <c r="W38" s="73">
        <f t="shared" si="0"/>
        <v>38.373364367354981</v>
      </c>
      <c r="X38" s="115">
        <v>4868.49</v>
      </c>
      <c r="Y38" s="116">
        <v>13.19</v>
      </c>
      <c r="Z38" s="116">
        <v>7.0000000000000007E-2</v>
      </c>
      <c r="AA38" s="116">
        <v>4.9000000000000004</v>
      </c>
      <c r="AB38" s="116">
        <v>20.79</v>
      </c>
      <c r="AC38" s="116">
        <v>12.55</v>
      </c>
      <c r="AD38" s="116">
        <v>19521.830000000002</v>
      </c>
      <c r="AE38" s="116">
        <v>287.66000000000003</v>
      </c>
      <c r="AF38" s="116">
        <v>14.31</v>
      </c>
      <c r="AG38" s="116">
        <v>14.85</v>
      </c>
      <c r="AH38" s="116" t="s">
        <v>349</v>
      </c>
      <c r="AI38" s="116">
        <v>27.38</v>
      </c>
      <c r="AJ38" s="116">
        <v>68.19</v>
      </c>
      <c r="AK38" s="117">
        <v>0.05</v>
      </c>
      <c r="AL38" s="115">
        <v>6.6000000000000003E-2</v>
      </c>
      <c r="AM38" s="118">
        <v>0.33900000000000002</v>
      </c>
      <c r="AN38" s="118">
        <v>1.89</v>
      </c>
      <c r="AO38" s="118">
        <v>96.626000000000005</v>
      </c>
      <c r="AP38" s="117">
        <v>35.417000000000002</v>
      </c>
      <c r="AQ38" s="119">
        <v>32.663974506698167</v>
      </c>
      <c r="AR38" s="312" t="s">
        <v>250</v>
      </c>
      <c r="AS38" s="312" t="s">
        <v>317</v>
      </c>
      <c r="AT38" s="312" t="s">
        <v>318</v>
      </c>
      <c r="AU38" s="312" t="s">
        <v>319</v>
      </c>
      <c r="AV38" s="312" t="s">
        <v>293</v>
      </c>
      <c r="AW38" s="312" t="s">
        <v>280</v>
      </c>
      <c r="AX38" s="312" t="s">
        <v>320</v>
      </c>
      <c r="AY38" s="312" t="s">
        <v>257</v>
      </c>
      <c r="AZ38" s="312" t="s">
        <v>321</v>
      </c>
      <c r="BA38" s="312" t="s">
        <v>322</v>
      </c>
      <c r="BB38" s="312" t="s">
        <v>323</v>
      </c>
      <c r="BC38" s="312" t="s">
        <v>261</v>
      </c>
      <c r="BD38" s="313">
        <v>6.3E-2</v>
      </c>
      <c r="BE38" s="312" t="s">
        <v>299</v>
      </c>
      <c r="BF38" s="313">
        <v>0.14699999999999999</v>
      </c>
      <c r="BG38" s="312" t="s">
        <v>264</v>
      </c>
      <c r="BH38" s="312" t="s">
        <v>314</v>
      </c>
      <c r="BI38" s="312" t="s">
        <v>261</v>
      </c>
      <c r="BJ38" s="312" t="s">
        <v>250</v>
      </c>
      <c r="BK38" s="312" t="s">
        <v>264</v>
      </c>
      <c r="BL38" s="312" t="s">
        <v>324</v>
      </c>
      <c r="BM38" s="312" t="s">
        <v>267</v>
      </c>
      <c r="BN38" s="313">
        <v>0.14299999999999999</v>
      </c>
      <c r="BO38" s="312" t="s">
        <v>303</v>
      </c>
      <c r="BP38" s="313">
        <v>4.2000000000000003E-2</v>
      </c>
      <c r="BQ38" s="313">
        <v>3.9E-2</v>
      </c>
      <c r="BR38" s="312" t="s">
        <v>269</v>
      </c>
      <c r="BS38" s="312" t="s">
        <v>250</v>
      </c>
      <c r="BT38" s="312" t="s">
        <v>325</v>
      </c>
      <c r="BU38" s="313">
        <v>9.1999999999999998E-2</v>
      </c>
      <c r="BV38" s="312" t="s">
        <v>272</v>
      </c>
      <c r="BW38" s="313">
        <v>0.155</v>
      </c>
      <c r="BX38" s="312" t="s">
        <v>274</v>
      </c>
      <c r="BY38" s="312" t="s">
        <v>326</v>
      </c>
      <c r="BZ38" s="312" t="s">
        <v>254</v>
      </c>
      <c r="CA38" s="61">
        <v>51.726287234080225</v>
      </c>
      <c r="CB38" s="77">
        <v>2.1640000000000001</v>
      </c>
      <c r="CC38" s="78">
        <v>12.18</v>
      </c>
      <c r="CD38" s="79">
        <v>130.864</v>
      </c>
      <c r="CE38" s="77">
        <v>7.3128170000000008</v>
      </c>
      <c r="CF38" s="78">
        <v>63.767314999999989</v>
      </c>
      <c r="CG38" s="79">
        <v>28.919865000000001</v>
      </c>
    </row>
    <row r="39" spans="1:85" s="61" customFormat="1" ht="15.75" thickBot="1" x14ac:dyDescent="0.3">
      <c r="A39" s="61" t="s">
        <v>99</v>
      </c>
      <c r="B39" s="61" t="s">
        <v>77</v>
      </c>
      <c r="C39" s="61" t="s">
        <v>158</v>
      </c>
      <c r="D39" s="61" t="s">
        <v>84</v>
      </c>
      <c r="E39" s="61">
        <v>2</v>
      </c>
      <c r="F39" s="80" t="s">
        <v>169</v>
      </c>
      <c r="G39" s="80" t="s">
        <v>170</v>
      </c>
      <c r="H39" s="81">
        <v>44299</v>
      </c>
      <c r="I39" s="82">
        <v>0.4916666666666667</v>
      </c>
      <c r="J39" s="83">
        <v>11</v>
      </c>
      <c r="K39" s="84">
        <v>7.6989999999999998</v>
      </c>
      <c r="L39" s="85">
        <v>29.9</v>
      </c>
      <c r="M39" s="62">
        <f t="shared" si="4"/>
        <v>46.899499999999996</v>
      </c>
      <c r="N39" s="85">
        <v>-53.8</v>
      </c>
      <c r="O39" s="85">
        <v>8.5</v>
      </c>
      <c r="P39" s="86">
        <v>4074276525.4845657</v>
      </c>
      <c r="Q39" s="87">
        <v>68.400000000000006</v>
      </c>
      <c r="R39" s="88">
        <v>1.4666666666666666</v>
      </c>
      <c r="S39" s="88">
        <v>1.4666666666666666</v>
      </c>
      <c r="T39" s="89">
        <v>73.688888888888897</v>
      </c>
      <c r="U39" s="90">
        <v>10.934991475677101</v>
      </c>
      <c r="V39" s="88">
        <v>14.740190599391399</v>
      </c>
      <c r="W39" s="91">
        <f t="shared" si="0"/>
        <v>42.589732932392174</v>
      </c>
      <c r="X39" s="95">
        <v>5077.7</v>
      </c>
      <c r="Y39" s="120">
        <v>12.23</v>
      </c>
      <c r="Z39" s="120">
        <v>0.06</v>
      </c>
      <c r="AA39" s="120">
        <v>4.5</v>
      </c>
      <c r="AB39" s="120">
        <v>20.48</v>
      </c>
      <c r="AC39" s="120">
        <v>11.29</v>
      </c>
      <c r="AD39" s="120">
        <v>18916.990000000002</v>
      </c>
      <c r="AE39" s="120">
        <v>310.10000000000002</v>
      </c>
      <c r="AF39" s="120">
        <v>14.21</v>
      </c>
      <c r="AG39" s="120">
        <v>11.05</v>
      </c>
      <c r="AH39" s="120" t="s">
        <v>350</v>
      </c>
      <c r="AI39" s="120">
        <v>27.39</v>
      </c>
      <c r="AJ39" s="120">
        <v>68.930000000000007</v>
      </c>
      <c r="AK39" s="121">
        <v>0.05</v>
      </c>
      <c r="AL39" s="95">
        <v>0</v>
      </c>
      <c r="AM39" s="96">
        <v>1.1279999999999999</v>
      </c>
      <c r="AN39" s="96">
        <v>4.9539999999999997</v>
      </c>
      <c r="AO39" s="96">
        <v>121.04</v>
      </c>
      <c r="AP39" s="121">
        <v>51.466000000000001</v>
      </c>
      <c r="AQ39" s="122">
        <v>41.275877571730291</v>
      </c>
      <c r="AR39" s="312" t="s">
        <v>250</v>
      </c>
      <c r="AS39" s="312" t="s">
        <v>317</v>
      </c>
      <c r="AT39" s="312" t="s">
        <v>318</v>
      </c>
      <c r="AU39" s="312" t="s">
        <v>319</v>
      </c>
      <c r="AV39" s="312" t="s">
        <v>293</v>
      </c>
      <c r="AW39" s="312" t="s">
        <v>280</v>
      </c>
      <c r="AX39" s="312" t="s">
        <v>320</v>
      </c>
      <c r="AY39" s="312" t="s">
        <v>257</v>
      </c>
      <c r="AZ39" s="312" t="s">
        <v>321</v>
      </c>
      <c r="BA39" s="312" t="s">
        <v>322</v>
      </c>
      <c r="BB39" s="312" t="s">
        <v>323</v>
      </c>
      <c r="BC39" s="312" t="s">
        <v>261</v>
      </c>
      <c r="BD39" s="313">
        <v>6.3E-2</v>
      </c>
      <c r="BE39" s="312" t="s">
        <v>299</v>
      </c>
      <c r="BF39" s="313">
        <v>0.14699999999999999</v>
      </c>
      <c r="BG39" s="312" t="s">
        <v>264</v>
      </c>
      <c r="BH39" s="312" t="s">
        <v>314</v>
      </c>
      <c r="BI39" s="312" t="s">
        <v>261</v>
      </c>
      <c r="BJ39" s="312" t="s">
        <v>250</v>
      </c>
      <c r="BK39" s="312" t="s">
        <v>264</v>
      </c>
      <c r="BL39" s="312" t="s">
        <v>324</v>
      </c>
      <c r="BM39" s="312" t="s">
        <v>267</v>
      </c>
      <c r="BN39" s="313">
        <v>0.14299999999999999</v>
      </c>
      <c r="BO39" s="312" t="s">
        <v>303</v>
      </c>
      <c r="BP39" s="313">
        <v>4.2000000000000003E-2</v>
      </c>
      <c r="BQ39" s="313">
        <v>3.9E-2</v>
      </c>
      <c r="BR39" s="312" t="s">
        <v>269</v>
      </c>
      <c r="BS39" s="312" t="s">
        <v>250</v>
      </c>
      <c r="BT39" s="312" t="s">
        <v>325</v>
      </c>
      <c r="BU39" s="313">
        <v>9.1999999999999998E-2</v>
      </c>
      <c r="BV39" s="312" t="s">
        <v>272</v>
      </c>
      <c r="BW39" s="313">
        <v>0.155</v>
      </c>
      <c r="BX39" s="312" t="s">
        <v>274</v>
      </c>
      <c r="BY39" s="312" t="s">
        <v>326</v>
      </c>
      <c r="BZ39" s="312" t="s">
        <v>254</v>
      </c>
      <c r="CA39" s="61">
        <v>48.961515064710177</v>
      </c>
      <c r="CB39" s="95">
        <v>2.3580000000000001</v>
      </c>
      <c r="CC39" s="96">
        <v>12.082000000000001</v>
      </c>
      <c r="CD39" s="91">
        <v>121.77200000000001</v>
      </c>
      <c r="CE39" s="95">
        <v>6.3622190000000005</v>
      </c>
      <c r="CF39" s="96">
        <v>65.529057999999992</v>
      </c>
      <c r="CG39" s="91">
        <v>28.108723999999999</v>
      </c>
    </row>
    <row r="40" spans="1:85" s="61" customFormat="1" ht="15.75" thickBot="1" x14ac:dyDescent="0.3">
      <c r="A40" s="61" t="s">
        <v>100</v>
      </c>
      <c r="B40" s="61" t="s">
        <v>77</v>
      </c>
      <c r="C40" s="61" t="s">
        <v>158</v>
      </c>
      <c r="D40" s="61" t="s">
        <v>84</v>
      </c>
      <c r="E40" s="61">
        <v>3</v>
      </c>
      <c r="F40" s="97" t="s">
        <v>169</v>
      </c>
      <c r="G40" s="97" t="s">
        <v>170</v>
      </c>
      <c r="H40" s="98">
        <v>44299</v>
      </c>
      <c r="I40" s="99">
        <v>0.51388888888888895</v>
      </c>
      <c r="J40" s="100">
        <v>12.5</v>
      </c>
      <c r="K40" s="101">
        <v>7.6479999999999997</v>
      </c>
      <c r="L40" s="102">
        <v>31.8</v>
      </c>
      <c r="M40" s="62">
        <f t="shared" si="4"/>
        <v>49.8521</v>
      </c>
      <c r="N40" s="102">
        <v>-51.7</v>
      </c>
      <c r="O40" s="102">
        <v>7.7</v>
      </c>
      <c r="P40" s="103">
        <v>6217803876.525485</v>
      </c>
      <c r="Q40" s="104">
        <v>75.066666666666663</v>
      </c>
      <c r="R40" s="105">
        <v>3.0666666666666669</v>
      </c>
      <c r="S40" s="105">
        <v>0.8</v>
      </c>
      <c r="T40" s="106">
        <v>81.599999999999994</v>
      </c>
      <c r="U40" s="107">
        <v>9.9650407404600401</v>
      </c>
      <c r="V40" s="105">
        <v>16.52192777216656</v>
      </c>
      <c r="W40" s="108">
        <f t="shared" si="0"/>
        <v>37.622428311150848</v>
      </c>
      <c r="X40" s="123">
        <v>5247.69</v>
      </c>
      <c r="Y40" s="124">
        <v>13.61</v>
      </c>
      <c r="Z40" s="124">
        <v>7.0000000000000007E-2</v>
      </c>
      <c r="AA40" s="124">
        <v>5</v>
      </c>
      <c r="AB40" s="124">
        <v>21.61</v>
      </c>
      <c r="AC40" s="124">
        <v>12.04</v>
      </c>
      <c r="AD40" s="124">
        <v>19651.02</v>
      </c>
      <c r="AE40" s="124">
        <v>323.08</v>
      </c>
      <c r="AF40" s="124">
        <v>14.97</v>
      </c>
      <c r="AG40" s="124">
        <v>14.07</v>
      </c>
      <c r="AH40" s="124" t="s">
        <v>350</v>
      </c>
      <c r="AI40" s="124">
        <v>29.47</v>
      </c>
      <c r="AJ40" s="124">
        <v>72.08</v>
      </c>
      <c r="AK40" s="125">
        <v>0.06</v>
      </c>
      <c r="AL40" s="123">
        <v>2.8000000000000025E-2</v>
      </c>
      <c r="AM40" s="126">
        <v>0.73799999999999999</v>
      </c>
      <c r="AN40" s="126">
        <v>3.13</v>
      </c>
      <c r="AO40" s="126">
        <v>99.957999999999998</v>
      </c>
      <c r="AP40" s="125">
        <v>44.816000000000003</v>
      </c>
      <c r="AQ40" s="127">
        <v>32.865188355471965</v>
      </c>
      <c r="AR40" s="312" t="s">
        <v>250</v>
      </c>
      <c r="AS40" s="312" t="s">
        <v>317</v>
      </c>
      <c r="AT40" s="312" t="s">
        <v>318</v>
      </c>
      <c r="AU40" s="312" t="s">
        <v>319</v>
      </c>
      <c r="AV40" s="312" t="s">
        <v>293</v>
      </c>
      <c r="AW40" s="312" t="s">
        <v>280</v>
      </c>
      <c r="AX40" s="312" t="s">
        <v>320</v>
      </c>
      <c r="AY40" s="312" t="s">
        <v>257</v>
      </c>
      <c r="AZ40" s="312" t="s">
        <v>321</v>
      </c>
      <c r="BA40" s="312" t="s">
        <v>322</v>
      </c>
      <c r="BB40" s="312" t="s">
        <v>323</v>
      </c>
      <c r="BC40" s="312" t="s">
        <v>261</v>
      </c>
      <c r="BD40" s="313">
        <v>6.3E-2</v>
      </c>
      <c r="BE40" s="312" t="s">
        <v>299</v>
      </c>
      <c r="BF40" s="313">
        <v>0.14699999999999999</v>
      </c>
      <c r="BG40" s="312" t="s">
        <v>264</v>
      </c>
      <c r="BH40" s="312" t="s">
        <v>314</v>
      </c>
      <c r="BI40" s="312" t="s">
        <v>261</v>
      </c>
      <c r="BJ40" s="312" t="s">
        <v>250</v>
      </c>
      <c r="BK40" s="312" t="s">
        <v>264</v>
      </c>
      <c r="BL40" s="312" t="s">
        <v>324</v>
      </c>
      <c r="BM40" s="312" t="s">
        <v>267</v>
      </c>
      <c r="BN40" s="313">
        <v>0.14299999999999999</v>
      </c>
      <c r="BO40" s="312" t="s">
        <v>303</v>
      </c>
      <c r="BP40" s="313">
        <v>4.2000000000000003E-2</v>
      </c>
      <c r="BQ40" s="313">
        <v>3.9E-2</v>
      </c>
      <c r="BR40" s="312" t="s">
        <v>269</v>
      </c>
      <c r="BS40" s="312" t="s">
        <v>250</v>
      </c>
      <c r="BT40" s="312" t="s">
        <v>325</v>
      </c>
      <c r="BU40" s="313">
        <v>9.1999999999999998E-2</v>
      </c>
      <c r="BV40" s="312" t="s">
        <v>272</v>
      </c>
      <c r="BW40" s="313">
        <v>0.155</v>
      </c>
      <c r="BX40" s="312" t="s">
        <v>274</v>
      </c>
      <c r="BY40" s="312" t="s">
        <v>326</v>
      </c>
      <c r="BZ40" s="312" t="s">
        <v>254</v>
      </c>
      <c r="CA40" s="61">
        <v>47.779830184871855</v>
      </c>
      <c r="CB40" s="112">
        <v>2.11</v>
      </c>
      <c r="CC40" s="113">
        <v>8.8520000000000003</v>
      </c>
      <c r="CD40" s="114">
        <v>80.138000000000005</v>
      </c>
      <c r="CE40" s="112">
        <v>7.5851939999999995</v>
      </c>
      <c r="CF40" s="113">
        <v>75.139280000000014</v>
      </c>
      <c r="CG40" s="114">
        <v>17.275525999999999</v>
      </c>
    </row>
    <row r="41" spans="1:85" s="61" customFormat="1" ht="15.75" thickBot="1" x14ac:dyDescent="0.3">
      <c r="A41" s="61" t="s">
        <v>101</v>
      </c>
      <c r="B41" s="61" t="s">
        <v>78</v>
      </c>
      <c r="C41" s="61" t="s">
        <v>158</v>
      </c>
      <c r="D41" s="61" t="s">
        <v>84</v>
      </c>
      <c r="E41" s="61">
        <v>1</v>
      </c>
      <c r="F41" s="62" t="s">
        <v>171</v>
      </c>
      <c r="G41" s="62" t="s">
        <v>172</v>
      </c>
      <c r="H41" s="63">
        <v>44300</v>
      </c>
      <c r="I41" s="64">
        <v>0.4916666666666667</v>
      </c>
      <c r="J41" s="65">
        <v>11.4</v>
      </c>
      <c r="K41" s="66">
        <v>7.7809999999999997</v>
      </c>
      <c r="L41" s="67">
        <v>14.1</v>
      </c>
      <c r="M41" s="62">
        <f t="shared" si="4"/>
        <v>22.346299999999999</v>
      </c>
      <c r="N41" s="67">
        <v>-60.1</v>
      </c>
      <c r="O41" s="67">
        <v>6.5</v>
      </c>
      <c r="P41" s="68">
        <v>1441037288.1355932</v>
      </c>
      <c r="Q41" s="69">
        <v>53.866666666666667</v>
      </c>
      <c r="R41" s="70">
        <v>5.6</v>
      </c>
      <c r="S41" s="70">
        <v>0.66666666666666663</v>
      </c>
      <c r="T41" s="71">
        <v>60.93333333333333</v>
      </c>
      <c r="U41" s="72">
        <v>3.3252895195649423</v>
      </c>
      <c r="V41" s="70">
        <v>4.943691823346362</v>
      </c>
      <c r="W41" s="73">
        <f t="shared" si="0"/>
        <v>40.214016475144085</v>
      </c>
      <c r="X41" s="115">
        <v>5639.67</v>
      </c>
      <c r="Y41" s="116">
        <v>19.21</v>
      </c>
      <c r="Z41" s="116">
        <v>0.09</v>
      </c>
      <c r="AA41" s="116">
        <v>8.44</v>
      </c>
      <c r="AB41" s="116">
        <v>30.4</v>
      </c>
      <c r="AC41" s="116">
        <v>17.86</v>
      </c>
      <c r="AD41" s="116">
        <v>28836.07</v>
      </c>
      <c r="AE41" s="116">
        <v>611.78</v>
      </c>
      <c r="AF41" s="116">
        <v>24.63</v>
      </c>
      <c r="AG41" s="116">
        <v>14.41</v>
      </c>
      <c r="AH41" s="116" t="s">
        <v>348</v>
      </c>
      <c r="AI41" s="116">
        <v>45.57</v>
      </c>
      <c r="AJ41" s="116">
        <v>105.57</v>
      </c>
      <c r="AK41" s="117">
        <v>0.08</v>
      </c>
      <c r="AL41" s="115">
        <v>0.32400000000000007</v>
      </c>
      <c r="AM41" s="118">
        <v>1.3879999999999999</v>
      </c>
      <c r="AN41" s="118">
        <v>4.968</v>
      </c>
      <c r="AO41" s="118">
        <v>91.82</v>
      </c>
      <c r="AP41" s="117">
        <v>146.64400000000001</v>
      </c>
      <c r="AQ41" s="119">
        <v>48.417276529810515</v>
      </c>
      <c r="AR41" s="312" t="s">
        <v>287</v>
      </c>
      <c r="AS41" s="312" t="s">
        <v>327</v>
      </c>
      <c r="AT41" s="312" t="s">
        <v>291</v>
      </c>
      <c r="AU41" s="312" t="s">
        <v>328</v>
      </c>
      <c r="AV41" s="312" t="s">
        <v>287</v>
      </c>
      <c r="AW41" s="312" t="s">
        <v>294</v>
      </c>
      <c r="AX41" s="312" t="s">
        <v>329</v>
      </c>
      <c r="AY41" s="312" t="s">
        <v>267</v>
      </c>
      <c r="AZ41" s="312" t="s">
        <v>330</v>
      </c>
      <c r="BA41" s="312" t="s">
        <v>285</v>
      </c>
      <c r="BB41" s="312" t="s">
        <v>331</v>
      </c>
      <c r="BC41" s="312" t="s">
        <v>261</v>
      </c>
      <c r="BD41" s="313">
        <v>3.5999999999999997E-2</v>
      </c>
      <c r="BE41" s="312" t="s">
        <v>299</v>
      </c>
      <c r="BF41" s="313">
        <v>7.3999999999999996E-2</v>
      </c>
      <c r="BG41" s="312" t="s">
        <v>264</v>
      </c>
      <c r="BH41" s="312" t="s">
        <v>265</v>
      </c>
      <c r="BI41" s="313">
        <v>5.0000000000000001E-3</v>
      </c>
      <c r="BJ41" s="312" t="s">
        <v>264</v>
      </c>
      <c r="BK41" s="312" t="s">
        <v>264</v>
      </c>
      <c r="BL41" s="312" t="s">
        <v>332</v>
      </c>
      <c r="BM41" s="312" t="s">
        <v>264</v>
      </c>
      <c r="BN41" s="313">
        <v>0.106</v>
      </c>
      <c r="BO41" s="312" t="s">
        <v>274</v>
      </c>
      <c r="BP41" s="313">
        <v>3.9E-2</v>
      </c>
      <c r="BQ41" s="312" t="s">
        <v>285</v>
      </c>
      <c r="BR41" s="312" t="s">
        <v>293</v>
      </c>
      <c r="BS41" s="312" t="s">
        <v>264</v>
      </c>
      <c r="BT41" s="312" t="s">
        <v>269</v>
      </c>
      <c r="BU41" s="313">
        <v>0.11</v>
      </c>
      <c r="BV41" s="312" t="s">
        <v>287</v>
      </c>
      <c r="BW41" s="313">
        <v>9.8000000000000004E-2</v>
      </c>
      <c r="BX41" s="312" t="s">
        <v>254</v>
      </c>
      <c r="BY41" s="312" t="s">
        <v>333</v>
      </c>
      <c r="BZ41" s="312" t="s">
        <v>334</v>
      </c>
      <c r="CA41" s="61">
        <v>43.500836828226404</v>
      </c>
      <c r="CB41" s="115">
        <v>2.1389999999999998</v>
      </c>
      <c r="CC41" s="118">
        <v>8.5670000000000002</v>
      </c>
      <c r="CD41" s="73">
        <v>70.882999999999996</v>
      </c>
      <c r="CE41" s="115">
        <v>7.4216169999999995</v>
      </c>
      <c r="CF41" s="118">
        <v>78.182019000000011</v>
      </c>
      <c r="CG41" s="73">
        <v>14.396365999999997</v>
      </c>
    </row>
    <row r="42" spans="1:85" s="61" customFormat="1" ht="15.75" thickBot="1" x14ac:dyDescent="0.3">
      <c r="A42" s="61" t="s">
        <v>102</v>
      </c>
      <c r="B42" s="61" t="s">
        <v>78</v>
      </c>
      <c r="C42" s="61" t="s">
        <v>158</v>
      </c>
      <c r="D42" s="61" t="s">
        <v>84</v>
      </c>
      <c r="E42" s="61">
        <v>2</v>
      </c>
      <c r="F42" s="80" t="s">
        <v>171</v>
      </c>
      <c r="G42" s="80" t="s">
        <v>172</v>
      </c>
      <c r="H42" s="81">
        <v>44300</v>
      </c>
      <c r="I42" s="82">
        <v>0.49722222222222223</v>
      </c>
      <c r="J42" s="83">
        <v>11.8</v>
      </c>
      <c r="K42" s="84">
        <v>7.7110000000000003</v>
      </c>
      <c r="L42" s="85">
        <v>12.4</v>
      </c>
      <c r="M42" s="62">
        <f t="shared" si="4"/>
        <v>19.704499999999999</v>
      </c>
      <c r="N42" s="85">
        <v>-57.2</v>
      </c>
      <c r="O42" s="85">
        <v>6</v>
      </c>
      <c r="P42" s="86">
        <v>2372359322.0338984</v>
      </c>
      <c r="Q42" s="87">
        <v>95.333333333333329</v>
      </c>
      <c r="R42" s="88">
        <v>4.5333333333333332</v>
      </c>
      <c r="S42" s="88">
        <v>0.93333333333333335</v>
      </c>
      <c r="T42" s="89">
        <v>101.64444444444445</v>
      </c>
      <c r="U42" s="90">
        <v>9.6117844948504292</v>
      </c>
      <c r="V42" s="88">
        <v>14.879982369797791</v>
      </c>
      <c r="W42" s="91">
        <f t="shared" si="0"/>
        <v>39.244961574104401</v>
      </c>
      <c r="X42" s="95">
        <v>5676.15</v>
      </c>
      <c r="Y42" s="120">
        <v>19.170000000000002</v>
      </c>
      <c r="Z42" s="120">
        <v>0.16</v>
      </c>
      <c r="AA42" s="120">
        <v>8.11</v>
      </c>
      <c r="AB42" s="120">
        <v>30.11</v>
      </c>
      <c r="AC42" s="120">
        <v>16.100000000000001</v>
      </c>
      <c r="AD42" s="120">
        <v>27440.62</v>
      </c>
      <c r="AE42" s="120">
        <v>520.41999999999996</v>
      </c>
      <c r="AF42" s="120">
        <v>22.77</v>
      </c>
      <c r="AG42" s="120">
        <v>14.61</v>
      </c>
      <c r="AH42" s="120" t="s">
        <v>348</v>
      </c>
      <c r="AI42" s="120">
        <v>43.36</v>
      </c>
      <c r="AJ42" s="120">
        <v>98.64</v>
      </c>
      <c r="AK42" s="121">
        <v>0.08</v>
      </c>
      <c r="AL42" s="95">
        <v>0</v>
      </c>
      <c r="AM42" s="96">
        <v>1.6160000000000001</v>
      </c>
      <c r="AN42" s="96">
        <v>5.7359999999999998</v>
      </c>
      <c r="AO42" s="96">
        <v>95.003</v>
      </c>
      <c r="AP42" s="121">
        <v>48.584000000000003</v>
      </c>
      <c r="AQ42" s="122">
        <v>136.13509975083142</v>
      </c>
      <c r="AR42" s="312" t="s">
        <v>287</v>
      </c>
      <c r="AS42" s="312" t="s">
        <v>327</v>
      </c>
      <c r="AT42" s="312" t="s">
        <v>291</v>
      </c>
      <c r="AU42" s="312" t="s">
        <v>328</v>
      </c>
      <c r="AV42" s="312" t="s">
        <v>287</v>
      </c>
      <c r="AW42" s="312" t="s">
        <v>294</v>
      </c>
      <c r="AX42" s="312" t="s">
        <v>329</v>
      </c>
      <c r="AY42" s="312" t="s">
        <v>267</v>
      </c>
      <c r="AZ42" s="312" t="s">
        <v>330</v>
      </c>
      <c r="BA42" s="312" t="s">
        <v>285</v>
      </c>
      <c r="BB42" s="312" t="s">
        <v>331</v>
      </c>
      <c r="BC42" s="312" t="s">
        <v>261</v>
      </c>
      <c r="BD42" s="313">
        <v>3.5999999999999997E-2</v>
      </c>
      <c r="BE42" s="312" t="s">
        <v>299</v>
      </c>
      <c r="BF42" s="313">
        <v>7.3999999999999996E-2</v>
      </c>
      <c r="BG42" s="312" t="s">
        <v>264</v>
      </c>
      <c r="BH42" s="312" t="s">
        <v>265</v>
      </c>
      <c r="BI42" s="313">
        <v>5.0000000000000001E-3</v>
      </c>
      <c r="BJ42" s="312" t="s">
        <v>264</v>
      </c>
      <c r="BK42" s="312" t="s">
        <v>264</v>
      </c>
      <c r="BL42" s="312" t="s">
        <v>332</v>
      </c>
      <c r="BM42" s="312" t="s">
        <v>264</v>
      </c>
      <c r="BN42" s="313">
        <v>0.106</v>
      </c>
      <c r="BO42" s="312" t="s">
        <v>274</v>
      </c>
      <c r="BP42" s="313">
        <v>3.9E-2</v>
      </c>
      <c r="BQ42" s="312" t="s">
        <v>285</v>
      </c>
      <c r="BR42" s="312" t="s">
        <v>293</v>
      </c>
      <c r="BS42" s="312" t="s">
        <v>264</v>
      </c>
      <c r="BT42" s="312" t="s">
        <v>269</v>
      </c>
      <c r="BU42" s="313">
        <v>0.11</v>
      </c>
      <c r="BV42" s="312" t="s">
        <v>287</v>
      </c>
      <c r="BW42" s="313">
        <v>9.8000000000000004E-2</v>
      </c>
      <c r="BX42" s="312" t="s">
        <v>254</v>
      </c>
      <c r="BY42" s="312" t="s">
        <v>333</v>
      </c>
      <c r="BZ42" s="312" t="s">
        <v>334</v>
      </c>
      <c r="CA42" s="61">
        <v>48.487246011970512</v>
      </c>
      <c r="CB42" s="95">
        <v>1.8440000000000001</v>
      </c>
      <c r="CC42" s="96">
        <v>7.8620000000000001</v>
      </c>
      <c r="CD42" s="91">
        <v>305.09699999999998</v>
      </c>
      <c r="CE42" s="95">
        <v>9.557938</v>
      </c>
      <c r="CF42" s="96">
        <v>70.537252000000009</v>
      </c>
      <c r="CG42" s="91">
        <v>19.904807999999996</v>
      </c>
    </row>
    <row r="43" spans="1:85" s="61" customFormat="1" ht="15.75" thickBot="1" x14ac:dyDescent="0.3">
      <c r="A43" s="61" t="s">
        <v>103</v>
      </c>
      <c r="B43" s="61" t="s">
        <v>78</v>
      </c>
      <c r="C43" s="61" t="s">
        <v>158</v>
      </c>
      <c r="D43" s="61" t="s">
        <v>84</v>
      </c>
      <c r="E43" s="61">
        <v>3</v>
      </c>
      <c r="F43" s="97" t="s">
        <v>171</v>
      </c>
      <c r="G43" s="97" t="s">
        <v>172</v>
      </c>
      <c r="H43" s="98">
        <v>44300</v>
      </c>
      <c r="I43" s="99">
        <v>0.4993055555555555</v>
      </c>
      <c r="J43" s="100">
        <v>11.7</v>
      </c>
      <c r="K43" s="101">
        <v>7.375</v>
      </c>
      <c r="L43" s="102">
        <v>25.8</v>
      </c>
      <c r="M43" s="62">
        <f t="shared" si="4"/>
        <v>40.528100000000002</v>
      </c>
      <c r="N43" s="102">
        <v>-37.6</v>
      </c>
      <c r="O43" s="102">
        <v>8.1</v>
      </c>
      <c r="P43" s="103">
        <v>2846522033.8983049</v>
      </c>
      <c r="Q43" s="104">
        <v>178</v>
      </c>
      <c r="R43" s="105">
        <v>4.8</v>
      </c>
      <c r="S43" s="105">
        <v>1.4666666666666666</v>
      </c>
      <c r="T43" s="106">
        <v>188.04444444444445</v>
      </c>
      <c r="U43" s="107">
        <v>8.4169674976532036</v>
      </c>
      <c r="V43" s="105">
        <v>25.16134378766445</v>
      </c>
      <c r="W43" s="108">
        <f t="shared" si="0"/>
        <v>25.066678982553782</v>
      </c>
      <c r="X43" s="123">
        <v>5636.37</v>
      </c>
      <c r="Y43" s="124">
        <v>19.91</v>
      </c>
      <c r="Z43" s="124">
        <v>0.15</v>
      </c>
      <c r="AA43" s="124">
        <v>7.17</v>
      </c>
      <c r="AB43" s="124">
        <v>30.55</v>
      </c>
      <c r="AC43" s="124">
        <v>16.66</v>
      </c>
      <c r="AD43" s="124">
        <v>26032.15</v>
      </c>
      <c r="AE43" s="124">
        <v>539.21</v>
      </c>
      <c r="AF43" s="124">
        <v>20.399999999999999</v>
      </c>
      <c r="AG43" s="124">
        <v>15.08</v>
      </c>
      <c r="AH43" s="124" t="s">
        <v>348</v>
      </c>
      <c r="AI43" s="124">
        <v>40.36</v>
      </c>
      <c r="AJ43" s="124">
        <v>116.08</v>
      </c>
      <c r="AK43" s="125">
        <v>0.1</v>
      </c>
      <c r="AL43" s="123">
        <v>9.600000000000003E-2</v>
      </c>
      <c r="AM43" s="126">
        <v>0.46</v>
      </c>
      <c r="AN43" s="126">
        <v>1.5</v>
      </c>
      <c r="AO43" s="126">
        <v>159.767</v>
      </c>
      <c r="AP43" s="125">
        <v>116.93600000000001</v>
      </c>
      <c r="AQ43" s="127">
        <v>53.549010134140545</v>
      </c>
      <c r="AR43" s="312" t="s">
        <v>287</v>
      </c>
      <c r="AS43" s="312" t="s">
        <v>327</v>
      </c>
      <c r="AT43" s="312" t="s">
        <v>291</v>
      </c>
      <c r="AU43" s="312" t="s">
        <v>328</v>
      </c>
      <c r="AV43" s="312" t="s">
        <v>287</v>
      </c>
      <c r="AW43" s="312" t="s">
        <v>294</v>
      </c>
      <c r="AX43" s="312" t="s">
        <v>329</v>
      </c>
      <c r="AY43" s="312" t="s">
        <v>267</v>
      </c>
      <c r="AZ43" s="312" t="s">
        <v>330</v>
      </c>
      <c r="BA43" s="312" t="s">
        <v>285</v>
      </c>
      <c r="BB43" s="312" t="s">
        <v>331</v>
      </c>
      <c r="BC43" s="312" t="s">
        <v>261</v>
      </c>
      <c r="BD43" s="313">
        <v>3.5999999999999997E-2</v>
      </c>
      <c r="BE43" s="312" t="s">
        <v>299</v>
      </c>
      <c r="BF43" s="313">
        <v>7.3999999999999996E-2</v>
      </c>
      <c r="BG43" s="312" t="s">
        <v>264</v>
      </c>
      <c r="BH43" s="312" t="s">
        <v>265</v>
      </c>
      <c r="BI43" s="313">
        <v>5.0000000000000001E-3</v>
      </c>
      <c r="BJ43" s="312" t="s">
        <v>264</v>
      </c>
      <c r="BK43" s="312" t="s">
        <v>264</v>
      </c>
      <c r="BL43" s="312" t="s">
        <v>332</v>
      </c>
      <c r="BM43" s="312" t="s">
        <v>264</v>
      </c>
      <c r="BN43" s="313">
        <v>0.106</v>
      </c>
      <c r="BO43" s="312" t="s">
        <v>274</v>
      </c>
      <c r="BP43" s="313">
        <v>3.9E-2</v>
      </c>
      <c r="BQ43" s="312" t="s">
        <v>285</v>
      </c>
      <c r="BR43" s="312" t="s">
        <v>293</v>
      </c>
      <c r="BS43" s="312" t="s">
        <v>264</v>
      </c>
      <c r="BT43" s="312" t="s">
        <v>269</v>
      </c>
      <c r="BU43" s="313">
        <v>0.11</v>
      </c>
      <c r="BV43" s="312" t="s">
        <v>287</v>
      </c>
      <c r="BW43" s="313">
        <v>9.8000000000000004E-2</v>
      </c>
      <c r="BX43" s="312" t="s">
        <v>254</v>
      </c>
      <c r="BY43" s="312" t="s">
        <v>333</v>
      </c>
      <c r="BZ43" s="312" t="s">
        <v>334</v>
      </c>
      <c r="CA43" s="61">
        <v>55.129797752044176</v>
      </c>
      <c r="CB43" s="123">
        <v>2.0110000000000001</v>
      </c>
      <c r="CC43" s="126">
        <v>7.7889999999999997</v>
      </c>
      <c r="CD43" s="108">
        <v>49.850999999999999</v>
      </c>
      <c r="CE43" s="123">
        <v>8.223179</v>
      </c>
      <c r="CF43" s="126">
        <v>80.924443000000011</v>
      </c>
      <c r="CG43" s="108">
        <v>10.852378999999997</v>
      </c>
    </row>
    <row r="44" spans="1:85" s="61" customFormat="1" ht="15.75" thickBot="1" x14ac:dyDescent="0.3">
      <c r="A44" s="61" t="s">
        <v>104</v>
      </c>
      <c r="B44" s="61" t="s">
        <v>79</v>
      </c>
      <c r="C44" s="61" t="s">
        <v>158</v>
      </c>
      <c r="D44" s="61" t="s">
        <v>83</v>
      </c>
      <c r="E44" s="61">
        <v>1</v>
      </c>
      <c r="F44" s="62" t="s">
        <v>173</v>
      </c>
      <c r="G44" s="62" t="s">
        <v>174</v>
      </c>
      <c r="H44" s="63">
        <v>44306</v>
      </c>
      <c r="I44" s="64">
        <v>0.4368055555555555</v>
      </c>
      <c r="J44" s="65">
        <v>14.5</v>
      </c>
      <c r="K44" s="66">
        <v>7.556</v>
      </c>
      <c r="L44" s="67">
        <v>5.2</v>
      </c>
      <c r="M44" s="62">
        <f t="shared" si="4"/>
        <v>8.5157000000000007</v>
      </c>
      <c r="N44" s="67">
        <v>-47.7</v>
      </c>
      <c r="O44" s="67">
        <v>12</v>
      </c>
      <c r="P44" s="68">
        <v>523008758.07609475</v>
      </c>
      <c r="Q44" s="128">
        <v>4.4333333333333336</v>
      </c>
      <c r="R44" s="129">
        <v>0.33333333333333331</v>
      </c>
      <c r="S44" s="129">
        <v>6.6666666666666666E-2</v>
      </c>
      <c r="T44" s="130">
        <v>5.7666666666666666</v>
      </c>
      <c r="U44" s="72">
        <v>6.6832411046060898</v>
      </c>
      <c r="V44" s="70">
        <v>8.3271539057889186</v>
      </c>
      <c r="W44" s="73">
        <f t="shared" si="0"/>
        <v>44.524085475284345</v>
      </c>
      <c r="X44" s="115">
        <v>5895.55</v>
      </c>
      <c r="Y44" s="116">
        <v>25.85</v>
      </c>
      <c r="Z44" s="116">
        <v>0.17</v>
      </c>
      <c r="AA44" s="116">
        <v>10.85</v>
      </c>
      <c r="AB44" s="116">
        <v>32.6</v>
      </c>
      <c r="AC44" s="116">
        <v>21.26</v>
      </c>
      <c r="AD44" s="116">
        <v>32730.2</v>
      </c>
      <c r="AE44" s="116">
        <v>375.1</v>
      </c>
      <c r="AF44" s="116">
        <v>27.85</v>
      </c>
      <c r="AG44" s="116">
        <v>14.27</v>
      </c>
      <c r="AH44" s="116" t="s">
        <v>348</v>
      </c>
      <c r="AI44" s="116">
        <v>35.53</v>
      </c>
      <c r="AJ44" s="116">
        <v>116.77</v>
      </c>
      <c r="AK44" s="117">
        <v>0.13</v>
      </c>
      <c r="AL44" s="115">
        <v>0</v>
      </c>
      <c r="AM44" s="118">
        <v>0.41</v>
      </c>
      <c r="AN44" s="118">
        <v>1.706</v>
      </c>
      <c r="AO44" s="118">
        <v>142.28800000000001</v>
      </c>
      <c r="AP44" s="117">
        <v>60.945</v>
      </c>
      <c r="AQ44" s="119">
        <v>36.303346099391312</v>
      </c>
      <c r="AR44" s="312" t="s">
        <v>276</v>
      </c>
      <c r="AS44" s="312" t="s">
        <v>335</v>
      </c>
      <c r="AT44" s="312" t="s">
        <v>252</v>
      </c>
      <c r="AU44" s="312" t="s">
        <v>336</v>
      </c>
      <c r="AV44" s="312" t="s">
        <v>276</v>
      </c>
      <c r="AW44" s="312" t="s">
        <v>337</v>
      </c>
      <c r="AX44" s="312" t="s">
        <v>338</v>
      </c>
      <c r="AY44" s="312" t="s">
        <v>267</v>
      </c>
      <c r="AZ44" s="312" t="s">
        <v>339</v>
      </c>
      <c r="BA44" s="312" t="s">
        <v>284</v>
      </c>
      <c r="BB44" s="312" t="s">
        <v>340</v>
      </c>
      <c r="BC44" s="312" t="s">
        <v>261</v>
      </c>
      <c r="BD44" s="313">
        <v>4.5999999999999999E-2</v>
      </c>
      <c r="BE44" s="312" t="s">
        <v>262</v>
      </c>
      <c r="BF44" s="313">
        <v>8.5999999999999993E-2</v>
      </c>
      <c r="BG44" s="312" t="s">
        <v>271</v>
      </c>
      <c r="BH44" s="312" t="s">
        <v>285</v>
      </c>
      <c r="BI44" s="313">
        <v>4.0000000000000001E-3</v>
      </c>
      <c r="BJ44" s="312" t="s">
        <v>264</v>
      </c>
      <c r="BK44" s="312" t="s">
        <v>271</v>
      </c>
      <c r="BL44" s="312" t="s">
        <v>341</v>
      </c>
      <c r="BM44" s="312" t="s">
        <v>264</v>
      </c>
      <c r="BN44" s="313">
        <v>0.14099999999999999</v>
      </c>
      <c r="BO44" s="312" t="s">
        <v>293</v>
      </c>
      <c r="BP44" s="313">
        <v>2.8000000000000001E-2</v>
      </c>
      <c r="BQ44" s="312" t="s">
        <v>273</v>
      </c>
      <c r="BR44" s="312" t="s">
        <v>254</v>
      </c>
      <c r="BS44" s="312" t="s">
        <v>271</v>
      </c>
      <c r="BT44" s="312" t="s">
        <v>272</v>
      </c>
      <c r="BU44" s="313">
        <v>0.08</v>
      </c>
      <c r="BV44" s="312" t="s">
        <v>276</v>
      </c>
      <c r="BW44" s="313">
        <v>0.112</v>
      </c>
      <c r="BX44" s="312" t="s">
        <v>269</v>
      </c>
      <c r="BY44" s="312" t="s">
        <v>342</v>
      </c>
      <c r="BZ44" s="313">
        <v>4.4999999999999998E-2</v>
      </c>
      <c r="CA44" s="61">
        <v>57.15619105329516</v>
      </c>
      <c r="CB44" s="77">
        <v>1.653</v>
      </c>
      <c r="CC44" s="78">
        <v>6.1219999999999999</v>
      </c>
      <c r="CD44" s="79">
        <v>34.890999999999998</v>
      </c>
      <c r="CE44" s="77">
        <v>11.558673000000001</v>
      </c>
      <c r="CF44" s="78">
        <v>80.471885</v>
      </c>
      <c r="CG44" s="79">
        <v>7.9694409999999989</v>
      </c>
    </row>
    <row r="45" spans="1:85" s="61" customFormat="1" ht="15.75" thickBot="1" x14ac:dyDescent="0.3">
      <c r="A45" s="61" t="s">
        <v>105</v>
      </c>
      <c r="B45" s="61" t="s">
        <v>79</v>
      </c>
      <c r="C45" s="61" t="s">
        <v>158</v>
      </c>
      <c r="D45" s="61" t="s">
        <v>83</v>
      </c>
      <c r="E45" s="61">
        <v>2</v>
      </c>
      <c r="F45" s="80" t="s">
        <v>173</v>
      </c>
      <c r="G45" s="80" t="s">
        <v>174</v>
      </c>
      <c r="H45" s="81">
        <v>44306</v>
      </c>
      <c r="I45" s="82">
        <v>0.45277777777777778</v>
      </c>
      <c r="J45" s="83">
        <v>15</v>
      </c>
      <c r="K45" s="84">
        <v>7.3410000000000002</v>
      </c>
      <c r="L45" s="85">
        <v>5.2</v>
      </c>
      <c r="M45" s="62">
        <f t="shared" si="4"/>
        <v>8.5157000000000007</v>
      </c>
      <c r="N45" s="85">
        <v>-35.299999999999997</v>
      </c>
      <c r="O45" s="85">
        <v>10</v>
      </c>
      <c r="P45" s="86">
        <v>1257519023.689878</v>
      </c>
      <c r="Q45" s="131">
        <v>9.1333333333333329</v>
      </c>
      <c r="R45" s="132">
        <v>0.66666666666666663</v>
      </c>
      <c r="S45" s="132">
        <v>0.33333333333333331</v>
      </c>
      <c r="T45" s="133">
        <v>10.799999999999999</v>
      </c>
      <c r="U45" s="90">
        <v>8.687051133187115</v>
      </c>
      <c r="V45" s="88">
        <v>10.75553526592102</v>
      </c>
      <c r="W45" s="91">
        <f t="shared" si="0"/>
        <v>44.680532491220426</v>
      </c>
      <c r="X45" s="95">
        <v>5987.86</v>
      </c>
      <c r="Y45" s="120">
        <v>28.69</v>
      </c>
      <c r="Z45" s="120">
        <v>0.28000000000000003</v>
      </c>
      <c r="AA45" s="120">
        <v>18.829999999999998</v>
      </c>
      <c r="AB45" s="120">
        <v>30.73</v>
      </c>
      <c r="AC45" s="120">
        <v>27.21</v>
      </c>
      <c r="AD45" s="120">
        <v>33956.910000000003</v>
      </c>
      <c r="AE45" s="120">
        <v>580.70000000000005</v>
      </c>
      <c r="AF45" s="120">
        <v>34.71</v>
      </c>
      <c r="AG45" s="120">
        <v>16.63</v>
      </c>
      <c r="AH45" s="120" t="s">
        <v>350</v>
      </c>
      <c r="AI45" s="120">
        <v>36.950000000000003</v>
      </c>
      <c r="AJ45" s="120">
        <v>168.73</v>
      </c>
      <c r="AK45" s="121">
        <v>0.14000000000000001</v>
      </c>
      <c r="AL45" s="95">
        <v>0</v>
      </c>
      <c r="AM45" s="96">
        <v>0.44</v>
      </c>
      <c r="AN45" s="96">
        <v>1.111</v>
      </c>
      <c r="AO45" s="96">
        <v>108.86</v>
      </c>
      <c r="AP45" s="121">
        <v>60.448999999999998</v>
      </c>
      <c r="AQ45" s="122">
        <v>30.629238011006038</v>
      </c>
      <c r="AR45" s="312" t="s">
        <v>276</v>
      </c>
      <c r="AS45" s="312" t="s">
        <v>335</v>
      </c>
      <c r="AT45" s="312" t="s">
        <v>252</v>
      </c>
      <c r="AU45" s="312" t="s">
        <v>336</v>
      </c>
      <c r="AV45" s="312" t="s">
        <v>276</v>
      </c>
      <c r="AW45" s="312" t="s">
        <v>337</v>
      </c>
      <c r="AX45" s="312" t="s">
        <v>338</v>
      </c>
      <c r="AY45" s="312" t="s">
        <v>267</v>
      </c>
      <c r="AZ45" s="312" t="s">
        <v>339</v>
      </c>
      <c r="BA45" s="312" t="s">
        <v>284</v>
      </c>
      <c r="BB45" s="312" t="s">
        <v>340</v>
      </c>
      <c r="BC45" s="312" t="s">
        <v>261</v>
      </c>
      <c r="BD45" s="313">
        <v>4.5999999999999999E-2</v>
      </c>
      <c r="BE45" s="312" t="s">
        <v>262</v>
      </c>
      <c r="BF45" s="313">
        <v>8.5999999999999993E-2</v>
      </c>
      <c r="BG45" s="312" t="s">
        <v>271</v>
      </c>
      <c r="BH45" s="312" t="s">
        <v>285</v>
      </c>
      <c r="BI45" s="313">
        <v>4.0000000000000001E-3</v>
      </c>
      <c r="BJ45" s="312" t="s">
        <v>264</v>
      </c>
      <c r="BK45" s="312" t="s">
        <v>271</v>
      </c>
      <c r="BL45" s="312" t="s">
        <v>341</v>
      </c>
      <c r="BM45" s="312" t="s">
        <v>264</v>
      </c>
      <c r="BN45" s="313">
        <v>0.14099999999999999</v>
      </c>
      <c r="BO45" s="312" t="s">
        <v>293</v>
      </c>
      <c r="BP45" s="313">
        <v>2.8000000000000001E-2</v>
      </c>
      <c r="BQ45" s="312" t="s">
        <v>273</v>
      </c>
      <c r="BR45" s="312" t="s">
        <v>254</v>
      </c>
      <c r="BS45" s="312" t="s">
        <v>271</v>
      </c>
      <c r="BT45" s="312" t="s">
        <v>272</v>
      </c>
      <c r="BU45" s="313">
        <v>0.08</v>
      </c>
      <c r="BV45" s="312" t="s">
        <v>276</v>
      </c>
      <c r="BW45" s="313">
        <v>0.112</v>
      </c>
      <c r="BX45" s="312" t="s">
        <v>269</v>
      </c>
      <c r="BY45" s="312" t="s">
        <v>342</v>
      </c>
      <c r="BZ45" s="313">
        <v>4.4999999999999998E-2</v>
      </c>
      <c r="CA45" s="61">
        <v>59.317374452924085</v>
      </c>
      <c r="CB45" s="95">
        <v>1.7969999999999999</v>
      </c>
      <c r="CC45" s="96">
        <v>8.9659999999999993</v>
      </c>
      <c r="CD45" s="91">
        <v>115.227</v>
      </c>
      <c r="CE45" s="95">
        <v>9.9871529999999993</v>
      </c>
      <c r="CF45" s="96">
        <v>73.005951999999994</v>
      </c>
      <c r="CG45" s="91">
        <v>17.006896000000001</v>
      </c>
    </row>
    <row r="46" spans="1:85" s="61" customFormat="1" ht="15.75" thickBot="1" x14ac:dyDescent="0.3">
      <c r="A46" s="61" t="s">
        <v>106</v>
      </c>
      <c r="B46" s="61" t="s">
        <v>79</v>
      </c>
      <c r="C46" s="61" t="s">
        <v>158</v>
      </c>
      <c r="D46" s="61" t="s">
        <v>83</v>
      </c>
      <c r="E46" s="61">
        <v>3</v>
      </c>
      <c r="F46" s="97" t="s">
        <v>173</v>
      </c>
      <c r="G46" s="97" t="s">
        <v>174</v>
      </c>
      <c r="H46" s="98">
        <v>44306</v>
      </c>
      <c r="I46" s="99">
        <v>0.46388888888888885</v>
      </c>
      <c r="J46" s="100">
        <v>14.9</v>
      </c>
      <c r="K46" s="101">
        <v>7.29</v>
      </c>
      <c r="L46" s="102">
        <v>5.0999999999999996</v>
      </c>
      <c r="M46" s="62">
        <f t="shared" si="4"/>
        <v>8.3603000000000005</v>
      </c>
      <c r="N46" s="102">
        <v>-32.799999999999997</v>
      </c>
      <c r="O46" s="102">
        <v>8</v>
      </c>
      <c r="P46" s="103">
        <v>1244326776.7408471</v>
      </c>
      <c r="Q46" s="134">
        <v>7.2</v>
      </c>
      <c r="R46" s="135">
        <v>0.46666666666666667</v>
      </c>
      <c r="S46" s="135">
        <v>6.6666666666666666E-2</v>
      </c>
      <c r="T46" s="136">
        <v>8.5333333333333332</v>
      </c>
      <c r="U46" s="107">
        <v>5.4031207379617161</v>
      </c>
      <c r="V46" s="105">
        <v>8.9227198433854706</v>
      </c>
      <c r="W46" s="108">
        <f t="shared" si="0"/>
        <v>37.71590719079196</v>
      </c>
      <c r="X46" s="123">
        <v>5952.07</v>
      </c>
      <c r="Y46" s="124">
        <v>21.77</v>
      </c>
      <c r="Z46" s="124">
        <v>0.27</v>
      </c>
      <c r="AA46" s="124">
        <v>16.059999999999999</v>
      </c>
      <c r="AB46" s="124">
        <v>30.07</v>
      </c>
      <c r="AC46" s="124">
        <v>22.5</v>
      </c>
      <c r="AD46" s="124">
        <v>29933.15</v>
      </c>
      <c r="AE46" s="124">
        <v>509.46</v>
      </c>
      <c r="AF46" s="124">
        <v>30.55</v>
      </c>
      <c r="AG46" s="124">
        <v>16.420000000000002</v>
      </c>
      <c r="AH46" s="124" t="s">
        <v>348</v>
      </c>
      <c r="AI46" s="124">
        <v>38.39</v>
      </c>
      <c r="AJ46" s="124">
        <v>143.07</v>
      </c>
      <c r="AK46" s="125">
        <v>0.14000000000000001</v>
      </c>
      <c r="AL46" s="123">
        <v>0</v>
      </c>
      <c r="AM46" s="126">
        <v>0.50900000000000001</v>
      </c>
      <c r="AN46" s="126">
        <v>1.8440000000000001</v>
      </c>
      <c r="AO46" s="126">
        <v>113.92100000000001</v>
      </c>
      <c r="AP46" s="125">
        <v>48.094000000000001</v>
      </c>
      <c r="AQ46" s="127">
        <v>23.963480439329711</v>
      </c>
      <c r="AR46" s="312" t="s">
        <v>276</v>
      </c>
      <c r="AS46" s="312" t="s">
        <v>335</v>
      </c>
      <c r="AT46" s="312" t="s">
        <v>252</v>
      </c>
      <c r="AU46" s="312" t="s">
        <v>336</v>
      </c>
      <c r="AV46" s="312" t="s">
        <v>276</v>
      </c>
      <c r="AW46" s="312" t="s">
        <v>337</v>
      </c>
      <c r="AX46" s="312" t="s">
        <v>338</v>
      </c>
      <c r="AY46" s="312" t="s">
        <v>267</v>
      </c>
      <c r="AZ46" s="312" t="s">
        <v>339</v>
      </c>
      <c r="BA46" s="312" t="s">
        <v>284</v>
      </c>
      <c r="BB46" s="312" t="s">
        <v>340</v>
      </c>
      <c r="BC46" s="312" t="s">
        <v>261</v>
      </c>
      <c r="BD46" s="313">
        <v>4.5999999999999999E-2</v>
      </c>
      <c r="BE46" s="312" t="s">
        <v>262</v>
      </c>
      <c r="BF46" s="313">
        <v>8.5999999999999993E-2</v>
      </c>
      <c r="BG46" s="312" t="s">
        <v>271</v>
      </c>
      <c r="BH46" s="312" t="s">
        <v>285</v>
      </c>
      <c r="BI46" s="313">
        <v>4.0000000000000001E-3</v>
      </c>
      <c r="BJ46" s="312" t="s">
        <v>264</v>
      </c>
      <c r="BK46" s="312" t="s">
        <v>271</v>
      </c>
      <c r="BL46" s="312" t="s">
        <v>341</v>
      </c>
      <c r="BM46" s="312" t="s">
        <v>264</v>
      </c>
      <c r="BN46" s="313">
        <v>0.14099999999999999</v>
      </c>
      <c r="BO46" s="312" t="s">
        <v>293</v>
      </c>
      <c r="BP46" s="313">
        <v>2.8000000000000001E-2</v>
      </c>
      <c r="BQ46" s="312" t="s">
        <v>273</v>
      </c>
      <c r="BR46" s="312" t="s">
        <v>254</v>
      </c>
      <c r="BS46" s="312" t="s">
        <v>271</v>
      </c>
      <c r="BT46" s="312" t="s">
        <v>272</v>
      </c>
      <c r="BU46" s="313">
        <v>0.08</v>
      </c>
      <c r="BV46" s="312" t="s">
        <v>276</v>
      </c>
      <c r="BW46" s="313">
        <v>0.112</v>
      </c>
      <c r="BX46" s="312" t="s">
        <v>269</v>
      </c>
      <c r="BY46" s="312" t="s">
        <v>342</v>
      </c>
      <c r="BZ46" s="313">
        <v>4.4999999999999998E-2</v>
      </c>
      <c r="CA46" s="61">
        <v>57.377238626496826</v>
      </c>
      <c r="CB46" s="112">
        <v>1.5549999999999999</v>
      </c>
      <c r="CC46" s="113">
        <v>6.7850000000000001</v>
      </c>
      <c r="CD46" s="114">
        <v>35.968000000000004</v>
      </c>
      <c r="CE46" s="112">
        <v>12.595852999999998</v>
      </c>
      <c r="CF46" s="113">
        <v>79.653474000000003</v>
      </c>
      <c r="CG46" s="114">
        <v>7.750669000000002</v>
      </c>
    </row>
    <row r="47" spans="1:85" s="61" customFormat="1" ht="15.75" thickBot="1" x14ac:dyDescent="0.3">
      <c r="A47" s="61" t="s">
        <v>107</v>
      </c>
      <c r="B47" s="61" t="s">
        <v>80</v>
      </c>
      <c r="C47" s="61" t="s">
        <v>158</v>
      </c>
      <c r="D47" s="61" t="s">
        <v>82</v>
      </c>
      <c r="E47" s="61">
        <v>1</v>
      </c>
      <c r="F47" s="137" t="s">
        <v>175</v>
      </c>
      <c r="G47" s="137" t="s">
        <v>176</v>
      </c>
      <c r="H47" s="138">
        <v>44321</v>
      </c>
      <c r="I47" s="139">
        <v>0.44166666666666665</v>
      </c>
      <c r="J47" s="65">
        <v>13.9</v>
      </c>
      <c r="K47" s="66">
        <v>7.1689999999999996</v>
      </c>
      <c r="L47" s="67">
        <v>0.3</v>
      </c>
      <c r="M47" s="62">
        <f t="shared" si="4"/>
        <v>0.90110000000000001</v>
      </c>
      <c r="N47" s="67">
        <v>-25.8</v>
      </c>
      <c r="O47" s="67">
        <v>13</v>
      </c>
      <c r="P47" s="68">
        <v>887284996.41062462</v>
      </c>
      <c r="Q47" s="69">
        <v>1.7333333333333334</v>
      </c>
      <c r="R47" s="70">
        <v>0.7</v>
      </c>
      <c r="S47" s="70">
        <v>0.5</v>
      </c>
      <c r="T47" s="71">
        <v>3.3000000000000003</v>
      </c>
      <c r="U47" s="72">
        <v>16.509896356177428</v>
      </c>
      <c r="V47" s="70">
        <v>38.932803020948171</v>
      </c>
      <c r="W47" s="73">
        <f t="shared" si="0"/>
        <v>29.77830542462555</v>
      </c>
      <c r="X47" s="66">
        <v>5929.22</v>
      </c>
      <c r="Y47" s="74">
        <v>8.5500000000000007</v>
      </c>
      <c r="Z47" s="74">
        <v>7.0000000000000007E-2</v>
      </c>
      <c r="AA47" s="74">
        <v>6.57</v>
      </c>
      <c r="AB47" s="74">
        <v>26.84</v>
      </c>
      <c r="AC47" s="74">
        <v>10.32</v>
      </c>
      <c r="AD47" s="74">
        <v>23435.040000000001</v>
      </c>
      <c r="AE47" s="74">
        <v>401.08</v>
      </c>
      <c r="AF47" s="74">
        <v>21.31</v>
      </c>
      <c r="AG47" s="74">
        <v>11.59</v>
      </c>
      <c r="AH47" s="74" t="s">
        <v>350</v>
      </c>
      <c r="AI47" s="74">
        <v>31.16</v>
      </c>
      <c r="AJ47" s="74">
        <v>82.05</v>
      </c>
      <c r="AK47" s="75">
        <v>0.05</v>
      </c>
      <c r="AL47" s="66">
        <v>0.42699999999999994</v>
      </c>
      <c r="AM47" s="67">
        <v>0.26200000000000001</v>
      </c>
      <c r="AN47" s="67">
        <v>1.4419999999999999</v>
      </c>
      <c r="AO47" s="67">
        <v>414.52300000000002</v>
      </c>
      <c r="AP47" s="75">
        <v>150.012</v>
      </c>
      <c r="AQ47" s="140">
        <v>33.798382580107848</v>
      </c>
      <c r="AR47" s="314" t="s">
        <v>287</v>
      </c>
      <c r="AS47" s="314" t="s">
        <v>256</v>
      </c>
      <c r="AT47" s="314" t="s">
        <v>278</v>
      </c>
      <c r="AU47" s="314" t="s">
        <v>343</v>
      </c>
      <c r="AV47" s="314" t="s">
        <v>287</v>
      </c>
      <c r="AW47" s="314" t="s">
        <v>280</v>
      </c>
      <c r="AX47" s="314" t="s">
        <v>344</v>
      </c>
      <c r="AY47" s="314" t="s">
        <v>267</v>
      </c>
      <c r="AZ47" s="314" t="s">
        <v>345</v>
      </c>
      <c r="BA47" s="314" t="s">
        <v>273</v>
      </c>
      <c r="BB47" s="314" t="s">
        <v>346</v>
      </c>
      <c r="BC47" s="314" t="s">
        <v>261</v>
      </c>
      <c r="BD47" s="314" t="s">
        <v>284</v>
      </c>
      <c r="BE47" s="314" t="s">
        <v>263</v>
      </c>
      <c r="BF47" s="314" t="s">
        <v>262</v>
      </c>
      <c r="BG47" s="314" t="s">
        <v>264</v>
      </c>
      <c r="BH47" s="314" t="s">
        <v>265</v>
      </c>
      <c r="BI47" s="314" t="s">
        <v>261</v>
      </c>
      <c r="BJ47" s="314" t="s">
        <v>264</v>
      </c>
      <c r="BK47" s="314" t="s">
        <v>264</v>
      </c>
      <c r="BL47" s="314" t="s">
        <v>347</v>
      </c>
      <c r="BM47" s="314" t="s">
        <v>264</v>
      </c>
      <c r="BN47" s="315">
        <v>2.4E-2</v>
      </c>
      <c r="BO47" s="314" t="s">
        <v>274</v>
      </c>
      <c r="BP47" s="314" t="s">
        <v>293</v>
      </c>
      <c r="BQ47" s="314" t="s">
        <v>273</v>
      </c>
      <c r="BR47" s="314" t="s">
        <v>254</v>
      </c>
      <c r="BS47" s="314" t="s">
        <v>264</v>
      </c>
      <c r="BT47" s="314" t="s">
        <v>272</v>
      </c>
      <c r="BU47" s="314" t="s">
        <v>271</v>
      </c>
      <c r="BV47" s="314" t="s">
        <v>287</v>
      </c>
      <c r="BW47" s="314" t="s">
        <v>265</v>
      </c>
      <c r="BX47" s="314" t="s">
        <v>254</v>
      </c>
      <c r="BY47" s="314" t="s">
        <v>316</v>
      </c>
      <c r="BZ47" s="314" t="s">
        <v>289</v>
      </c>
      <c r="CA47" s="61">
        <v>64.61720178825442</v>
      </c>
      <c r="CB47" s="115">
        <v>2.0459999999999998</v>
      </c>
      <c r="CC47" s="118">
        <v>9.2430000000000003</v>
      </c>
      <c r="CD47" s="73">
        <v>49.442</v>
      </c>
      <c r="CE47" s="115">
        <v>8.0553360000000005</v>
      </c>
      <c r="CF47" s="118">
        <v>80.982892000000007</v>
      </c>
      <c r="CG47" s="73">
        <v>10.961773000000001</v>
      </c>
    </row>
    <row r="48" spans="1:85" s="61" customFormat="1" ht="15.75" thickBot="1" x14ac:dyDescent="0.3">
      <c r="A48" s="61" t="s">
        <v>108</v>
      </c>
      <c r="B48" s="61" t="s">
        <v>80</v>
      </c>
      <c r="C48" s="61" t="s">
        <v>158</v>
      </c>
      <c r="D48" s="61" t="s">
        <v>82</v>
      </c>
      <c r="E48" s="61">
        <v>2</v>
      </c>
      <c r="F48" s="80" t="s">
        <v>175</v>
      </c>
      <c r="G48" s="80" t="s">
        <v>176</v>
      </c>
      <c r="H48" s="81">
        <v>44321</v>
      </c>
      <c r="I48" s="82">
        <v>0.45624999999999999</v>
      </c>
      <c r="J48" s="83">
        <v>13.7</v>
      </c>
      <c r="K48" s="84">
        <v>7.141</v>
      </c>
      <c r="L48" s="85">
        <v>0.2</v>
      </c>
      <c r="M48" s="62">
        <f t="shared" si="4"/>
        <v>0.74570000000000003</v>
      </c>
      <c r="N48" s="85">
        <v>-24.7</v>
      </c>
      <c r="O48" s="85">
        <v>11</v>
      </c>
      <c r="P48" s="86">
        <v>1333693610.9117014</v>
      </c>
      <c r="Q48" s="87">
        <v>6.6</v>
      </c>
      <c r="R48" s="88">
        <v>1.8333333333333333</v>
      </c>
      <c r="S48" s="88">
        <v>1.2333333333333334</v>
      </c>
      <c r="T48" s="89">
        <v>10.666666666666666</v>
      </c>
      <c r="U48" s="90">
        <v>18.319836729699361</v>
      </c>
      <c r="V48" s="88">
        <v>52.626124525540234</v>
      </c>
      <c r="W48" s="91">
        <f t="shared" si="0"/>
        <v>25.82224048496683</v>
      </c>
      <c r="X48" s="84">
        <v>5853.41</v>
      </c>
      <c r="Y48" s="92">
        <v>10.82</v>
      </c>
      <c r="Z48" s="92">
        <v>7.0000000000000007E-2</v>
      </c>
      <c r="AA48" s="92">
        <v>6.44</v>
      </c>
      <c r="AB48" s="92">
        <v>26.56</v>
      </c>
      <c r="AC48" s="92">
        <v>10.199999999999999</v>
      </c>
      <c r="AD48" s="92">
        <v>23690.35</v>
      </c>
      <c r="AE48" s="92">
        <v>409.4</v>
      </c>
      <c r="AF48" s="92">
        <v>21.33</v>
      </c>
      <c r="AG48" s="92">
        <v>15.13</v>
      </c>
      <c r="AH48" s="92" t="s">
        <v>348</v>
      </c>
      <c r="AI48" s="92">
        <v>31.58</v>
      </c>
      <c r="AJ48" s="92">
        <v>77.98</v>
      </c>
      <c r="AK48" s="93">
        <v>0.05</v>
      </c>
      <c r="AL48" s="84">
        <v>0.28700000000000003</v>
      </c>
      <c r="AM48" s="85">
        <v>0.23499999999999999</v>
      </c>
      <c r="AN48" s="85">
        <v>0.995</v>
      </c>
      <c r="AO48" s="85">
        <v>295.637</v>
      </c>
      <c r="AP48" s="93">
        <v>61.960999999999999</v>
      </c>
      <c r="AQ48" s="94">
        <v>49.702645007091157</v>
      </c>
      <c r="AR48" s="314" t="s">
        <v>287</v>
      </c>
      <c r="AS48" s="314" t="s">
        <v>256</v>
      </c>
      <c r="AT48" s="314" t="s">
        <v>278</v>
      </c>
      <c r="AU48" s="314" t="s">
        <v>343</v>
      </c>
      <c r="AV48" s="314" t="s">
        <v>287</v>
      </c>
      <c r="AW48" s="314" t="s">
        <v>280</v>
      </c>
      <c r="AX48" s="314" t="s">
        <v>344</v>
      </c>
      <c r="AY48" s="314" t="s">
        <v>267</v>
      </c>
      <c r="AZ48" s="314" t="s">
        <v>345</v>
      </c>
      <c r="BA48" s="314" t="s">
        <v>273</v>
      </c>
      <c r="BB48" s="314" t="s">
        <v>346</v>
      </c>
      <c r="BC48" s="314" t="s">
        <v>261</v>
      </c>
      <c r="BD48" s="314" t="s">
        <v>284</v>
      </c>
      <c r="BE48" s="314" t="s">
        <v>263</v>
      </c>
      <c r="BF48" s="314" t="s">
        <v>262</v>
      </c>
      <c r="BG48" s="314" t="s">
        <v>264</v>
      </c>
      <c r="BH48" s="314" t="s">
        <v>265</v>
      </c>
      <c r="BI48" s="314" t="s">
        <v>261</v>
      </c>
      <c r="BJ48" s="314" t="s">
        <v>264</v>
      </c>
      <c r="BK48" s="314" t="s">
        <v>264</v>
      </c>
      <c r="BL48" s="314" t="s">
        <v>347</v>
      </c>
      <c r="BM48" s="314" t="s">
        <v>264</v>
      </c>
      <c r="BN48" s="315">
        <v>2.4E-2</v>
      </c>
      <c r="BO48" s="314" t="s">
        <v>274</v>
      </c>
      <c r="BP48" s="314" t="s">
        <v>293</v>
      </c>
      <c r="BQ48" s="314" t="s">
        <v>273</v>
      </c>
      <c r="BR48" s="314" t="s">
        <v>254</v>
      </c>
      <c r="BS48" s="314" t="s">
        <v>264</v>
      </c>
      <c r="BT48" s="314" t="s">
        <v>272</v>
      </c>
      <c r="BU48" s="314" t="s">
        <v>271</v>
      </c>
      <c r="BV48" s="314" t="s">
        <v>287</v>
      </c>
      <c r="BW48" s="314" t="s">
        <v>265</v>
      </c>
      <c r="BX48" s="314" t="s">
        <v>254</v>
      </c>
      <c r="BY48" s="314" t="s">
        <v>316</v>
      </c>
      <c r="BZ48" s="314" t="s">
        <v>289</v>
      </c>
      <c r="CA48" s="61">
        <v>63.472680158027337</v>
      </c>
      <c r="CB48" s="95">
        <v>2.008</v>
      </c>
      <c r="CC48" s="96">
        <v>7.6150000000000002</v>
      </c>
      <c r="CD48" s="91">
        <v>33.398000000000003</v>
      </c>
      <c r="CE48" s="95">
        <v>8.1968830000000015</v>
      </c>
      <c r="CF48" s="96">
        <v>85.541285999999999</v>
      </c>
      <c r="CG48" s="91">
        <v>6.2618289999999988</v>
      </c>
    </row>
    <row r="49" spans="1:85" s="61" customFormat="1" ht="15.75" thickBot="1" x14ac:dyDescent="0.3">
      <c r="A49" s="61" t="s">
        <v>109</v>
      </c>
      <c r="B49" s="61" t="s">
        <v>80</v>
      </c>
      <c r="C49" s="61" t="s">
        <v>158</v>
      </c>
      <c r="D49" s="61" t="s">
        <v>82</v>
      </c>
      <c r="E49" s="61">
        <v>3</v>
      </c>
      <c r="F49" s="97" t="s">
        <v>175</v>
      </c>
      <c r="G49" s="97" t="s">
        <v>176</v>
      </c>
      <c r="H49" s="98">
        <v>44321</v>
      </c>
      <c r="I49" s="141">
        <v>0.46666666666666662</v>
      </c>
      <c r="J49" s="100">
        <v>13.2</v>
      </c>
      <c r="K49" s="101">
        <v>7.1059999999999999</v>
      </c>
      <c r="L49" s="102">
        <v>0.2</v>
      </c>
      <c r="M49" s="62">
        <f t="shared" si="4"/>
        <v>0.74570000000000003</v>
      </c>
      <c r="N49" s="102">
        <v>-22.9</v>
      </c>
      <c r="O49" s="102">
        <v>11</v>
      </c>
      <c r="P49" s="103">
        <v>2225659727.2074661</v>
      </c>
      <c r="Q49" s="104">
        <v>7.333333333333333</v>
      </c>
      <c r="R49" s="105">
        <v>1.5333333333333334</v>
      </c>
      <c r="S49" s="105">
        <v>0.4</v>
      </c>
      <c r="T49" s="106">
        <v>10.222222222222223</v>
      </c>
      <c r="U49" s="107">
        <v>11.300875554090188</v>
      </c>
      <c r="V49" s="105">
        <v>26.539960153412185</v>
      </c>
      <c r="W49" s="108">
        <f t="shared" si="0"/>
        <v>29.86423355298589</v>
      </c>
      <c r="X49" s="101">
        <v>6246.27</v>
      </c>
      <c r="Y49" s="109">
        <v>13.8</v>
      </c>
      <c r="Z49" s="109">
        <v>7.0000000000000007E-2</v>
      </c>
      <c r="AA49" s="109">
        <v>7.38</v>
      </c>
      <c r="AB49" s="109">
        <v>31.16</v>
      </c>
      <c r="AC49" s="109">
        <v>10.76</v>
      </c>
      <c r="AD49" s="109">
        <v>28067.56</v>
      </c>
      <c r="AE49" s="109">
        <v>425.82</v>
      </c>
      <c r="AF49" s="109">
        <v>23.1</v>
      </c>
      <c r="AG49" s="109">
        <v>15.21</v>
      </c>
      <c r="AH49" s="109" t="s">
        <v>350</v>
      </c>
      <c r="AI49" s="109">
        <v>35.46</v>
      </c>
      <c r="AJ49" s="109">
        <v>82.74</v>
      </c>
      <c r="AK49" s="110">
        <v>7.0000000000000007E-2</v>
      </c>
      <c r="AL49" s="101">
        <v>0</v>
      </c>
      <c r="AM49" s="102">
        <v>0.23400000000000001</v>
      </c>
      <c r="AN49" s="102">
        <v>1.0680000000000001</v>
      </c>
      <c r="AO49" s="102">
        <v>277.678</v>
      </c>
      <c r="AP49" s="110">
        <v>45.140999999999998</v>
      </c>
      <c r="AQ49" s="111">
        <v>57.589057458382108</v>
      </c>
      <c r="AR49" s="314" t="s">
        <v>287</v>
      </c>
      <c r="AS49" s="314" t="s">
        <v>256</v>
      </c>
      <c r="AT49" s="314" t="s">
        <v>278</v>
      </c>
      <c r="AU49" s="314" t="s">
        <v>343</v>
      </c>
      <c r="AV49" s="314" t="s">
        <v>287</v>
      </c>
      <c r="AW49" s="314" t="s">
        <v>280</v>
      </c>
      <c r="AX49" s="314" t="s">
        <v>344</v>
      </c>
      <c r="AY49" s="314" t="s">
        <v>267</v>
      </c>
      <c r="AZ49" s="314" t="s">
        <v>345</v>
      </c>
      <c r="BA49" s="314" t="s">
        <v>273</v>
      </c>
      <c r="BB49" s="314" t="s">
        <v>346</v>
      </c>
      <c r="BC49" s="314" t="s">
        <v>261</v>
      </c>
      <c r="BD49" s="314" t="s">
        <v>284</v>
      </c>
      <c r="BE49" s="314" t="s">
        <v>263</v>
      </c>
      <c r="BF49" s="314" t="s">
        <v>262</v>
      </c>
      <c r="BG49" s="314" t="s">
        <v>264</v>
      </c>
      <c r="BH49" s="314" t="s">
        <v>265</v>
      </c>
      <c r="BI49" s="314" t="s">
        <v>261</v>
      </c>
      <c r="BJ49" s="314" t="s">
        <v>264</v>
      </c>
      <c r="BK49" s="314" t="s">
        <v>264</v>
      </c>
      <c r="BL49" s="314" t="s">
        <v>347</v>
      </c>
      <c r="BM49" s="314" t="s">
        <v>264</v>
      </c>
      <c r="BN49" s="315">
        <v>2.4E-2</v>
      </c>
      <c r="BO49" s="314" t="s">
        <v>274</v>
      </c>
      <c r="BP49" s="314" t="s">
        <v>293</v>
      </c>
      <c r="BQ49" s="314" t="s">
        <v>273</v>
      </c>
      <c r="BR49" s="314" t="s">
        <v>254</v>
      </c>
      <c r="BS49" s="314" t="s">
        <v>264</v>
      </c>
      <c r="BT49" s="314" t="s">
        <v>272</v>
      </c>
      <c r="BU49" s="314" t="s">
        <v>271</v>
      </c>
      <c r="BV49" s="314" t="s">
        <v>287</v>
      </c>
      <c r="BW49" s="314" t="s">
        <v>265</v>
      </c>
      <c r="BX49" s="314" t="s">
        <v>254</v>
      </c>
      <c r="BY49" s="314" t="s">
        <v>316</v>
      </c>
      <c r="BZ49" s="314" t="s">
        <v>289</v>
      </c>
      <c r="CA49" s="61">
        <v>57.882809673047078</v>
      </c>
      <c r="CB49" s="123">
        <v>1.919</v>
      </c>
      <c r="CC49" s="126">
        <v>7.61</v>
      </c>
      <c r="CD49" s="108">
        <v>34.755000000000003</v>
      </c>
      <c r="CE49" s="123">
        <v>8.9102149999999991</v>
      </c>
      <c r="CF49" s="126">
        <v>84.245351999999997</v>
      </c>
      <c r="CG49" s="108">
        <v>6.8444330000000013</v>
      </c>
    </row>
    <row r="50" spans="1:85" s="142" customFormat="1" x14ac:dyDescent="0.25">
      <c r="A50" s="142" t="s">
        <v>110</v>
      </c>
      <c r="B50" s="142" t="s">
        <v>64</v>
      </c>
      <c r="C50" s="142" t="s">
        <v>159</v>
      </c>
      <c r="D50" s="142" t="s">
        <v>82</v>
      </c>
      <c r="E50" s="142">
        <v>1</v>
      </c>
      <c r="F50" s="143" t="s">
        <v>161</v>
      </c>
      <c r="G50" s="143" t="s">
        <v>162</v>
      </c>
      <c r="H50" s="144">
        <v>44410</v>
      </c>
      <c r="I50" s="145">
        <v>0.42986111111111108</v>
      </c>
      <c r="J50" s="146">
        <v>21.6</v>
      </c>
      <c r="K50" s="147">
        <v>7.4530000000000003</v>
      </c>
      <c r="L50" s="143">
        <v>0.7</v>
      </c>
      <c r="M50" s="143">
        <v>0.14149999999999999</v>
      </c>
      <c r="N50" s="143">
        <v>-41</v>
      </c>
      <c r="O50" s="143">
        <v>22</v>
      </c>
      <c r="P50" s="148">
        <v>1332833898.3050847</v>
      </c>
      <c r="Q50" s="149">
        <v>6.6</v>
      </c>
      <c r="R50" s="150">
        <v>0.2</v>
      </c>
      <c r="S50" s="150">
        <v>0.13333333333333333</v>
      </c>
      <c r="T50" s="151">
        <v>7.7333333333333334</v>
      </c>
      <c r="U50" s="152">
        <v>5.7242671044047402</v>
      </c>
      <c r="V50" s="150">
        <v>32.799100780665263</v>
      </c>
      <c r="W50" s="153">
        <f t="shared" si="0"/>
        <v>14.859207329645807</v>
      </c>
      <c r="X50" s="147">
        <v>6092.39</v>
      </c>
      <c r="Y50" s="143">
        <v>7.28</v>
      </c>
      <c r="Z50" s="154">
        <v>7.0000000000000007E-2</v>
      </c>
      <c r="AA50" s="143">
        <v>5.67</v>
      </c>
      <c r="AB50" s="143">
        <v>28.27</v>
      </c>
      <c r="AC50" s="143">
        <v>10.65</v>
      </c>
      <c r="AD50" s="143">
        <v>24009.29</v>
      </c>
      <c r="AE50" s="143">
        <v>404.88</v>
      </c>
      <c r="AF50" s="154">
        <v>19.739999999999998</v>
      </c>
      <c r="AG50" s="143">
        <v>15.79</v>
      </c>
      <c r="AH50" s="154" t="s">
        <v>350</v>
      </c>
      <c r="AI50" s="143">
        <v>33.229999999999997</v>
      </c>
      <c r="AJ50" s="143">
        <v>76.819999999999993</v>
      </c>
      <c r="AK50" s="155">
        <v>0.06</v>
      </c>
      <c r="AL50" s="156">
        <v>0</v>
      </c>
      <c r="AM50" s="146">
        <v>0.36</v>
      </c>
      <c r="AN50" s="146">
        <v>7.78</v>
      </c>
      <c r="AO50" s="143">
        <v>469.75299999999999</v>
      </c>
      <c r="AP50" s="155">
        <v>131.245</v>
      </c>
      <c r="AQ50" s="157">
        <v>31.746937622607938</v>
      </c>
      <c r="AR50" s="312" t="s">
        <v>250</v>
      </c>
      <c r="AS50" s="312" t="s">
        <v>251</v>
      </c>
      <c r="AT50" s="312" t="s">
        <v>252</v>
      </c>
      <c r="AU50" s="312" t="s">
        <v>253</v>
      </c>
      <c r="AV50" s="312" t="s">
        <v>254</v>
      </c>
      <c r="AW50" s="312" t="s">
        <v>255</v>
      </c>
      <c r="AX50" s="312" t="s">
        <v>256</v>
      </c>
      <c r="AY50" s="312" t="s">
        <v>257</v>
      </c>
      <c r="AZ50" s="312" t="s">
        <v>258</v>
      </c>
      <c r="BA50" s="312" t="s">
        <v>259</v>
      </c>
      <c r="BB50" s="312" t="s">
        <v>260</v>
      </c>
      <c r="BC50" s="312" t="s">
        <v>261</v>
      </c>
      <c r="BD50" s="312" t="s">
        <v>262</v>
      </c>
      <c r="BE50" s="312" t="s">
        <v>263</v>
      </c>
      <c r="BF50" s="312" t="s">
        <v>262</v>
      </c>
      <c r="BG50" s="312" t="s">
        <v>264</v>
      </c>
      <c r="BH50" s="312" t="s">
        <v>265</v>
      </c>
      <c r="BI50" s="312" t="s">
        <v>261</v>
      </c>
      <c r="BJ50" s="312" t="s">
        <v>250</v>
      </c>
      <c r="BK50" s="312" t="s">
        <v>264</v>
      </c>
      <c r="BL50" s="312" t="s">
        <v>266</v>
      </c>
      <c r="BM50" s="312" t="s">
        <v>267</v>
      </c>
      <c r="BN50" s="312" t="s">
        <v>266</v>
      </c>
      <c r="BO50" s="312" t="s">
        <v>268</v>
      </c>
      <c r="BP50" s="312" t="s">
        <v>264</v>
      </c>
      <c r="BQ50" s="312" t="s">
        <v>265</v>
      </c>
      <c r="BR50" s="312" t="s">
        <v>269</v>
      </c>
      <c r="BS50" s="312" t="s">
        <v>264</v>
      </c>
      <c r="BT50" s="312" t="s">
        <v>270</v>
      </c>
      <c r="BU50" s="312" t="s">
        <v>271</v>
      </c>
      <c r="BV50" s="312" t="s">
        <v>272</v>
      </c>
      <c r="BW50" s="312" t="s">
        <v>273</v>
      </c>
      <c r="BX50" s="312" t="s">
        <v>274</v>
      </c>
      <c r="BY50" s="312" t="s">
        <v>275</v>
      </c>
      <c r="BZ50" s="313">
        <v>2.5999999999999999E-2</v>
      </c>
      <c r="CA50" s="142">
        <v>61.742892673920345</v>
      </c>
      <c r="CB50" s="158">
        <v>3.569</v>
      </c>
      <c r="CC50" s="159">
        <v>113.444</v>
      </c>
      <c r="CD50" s="160">
        <v>1012.508</v>
      </c>
      <c r="CE50" s="158">
        <v>3.9232509999999996</v>
      </c>
      <c r="CF50" s="159">
        <v>38.433541000000005</v>
      </c>
      <c r="CG50" s="160">
        <v>57.643208999999992</v>
      </c>
    </row>
    <row r="51" spans="1:85" s="142" customFormat="1" x14ac:dyDescent="0.25">
      <c r="A51" s="142" t="s">
        <v>111</v>
      </c>
      <c r="B51" s="142" t="s">
        <v>64</v>
      </c>
      <c r="C51" s="142" t="s">
        <v>159</v>
      </c>
      <c r="D51" s="142" t="s">
        <v>82</v>
      </c>
      <c r="E51" s="142">
        <v>2</v>
      </c>
      <c r="F51" s="161" t="s">
        <v>161</v>
      </c>
      <c r="G51" s="161" t="s">
        <v>162</v>
      </c>
      <c r="H51" s="162">
        <v>44410</v>
      </c>
      <c r="I51" s="163">
        <v>0.4375</v>
      </c>
      <c r="J51" s="164">
        <v>21.2</v>
      </c>
      <c r="K51" s="165">
        <v>7.3330000000000002</v>
      </c>
      <c r="L51" s="161">
        <v>0.6</v>
      </c>
      <c r="M51" s="161">
        <v>0.13150000000000001</v>
      </c>
      <c r="N51" s="161">
        <v>-34.6</v>
      </c>
      <c r="O51" s="161">
        <v>17</v>
      </c>
      <c r="P51" s="166">
        <v>1084352542.3728812</v>
      </c>
      <c r="Q51" s="167">
        <v>8</v>
      </c>
      <c r="R51" s="168">
        <v>1.0666666666666667</v>
      </c>
      <c r="S51" s="168">
        <v>0.66666666666666663</v>
      </c>
      <c r="T51" s="169">
        <v>10.066666666666666</v>
      </c>
      <c r="U51" s="170">
        <v>11.097109873582371</v>
      </c>
      <c r="V51" s="168">
        <v>49.148762975030195</v>
      </c>
      <c r="W51" s="171">
        <f t="shared" si="0"/>
        <v>18.419701381814956</v>
      </c>
      <c r="X51" s="165">
        <v>6170.96</v>
      </c>
      <c r="Y51" s="161">
        <v>7.64</v>
      </c>
      <c r="Z51" s="161">
        <v>7.0000000000000007E-2</v>
      </c>
      <c r="AA51" s="161">
        <v>5.43</v>
      </c>
      <c r="AB51" s="161">
        <v>28.84</v>
      </c>
      <c r="AC51" s="161">
        <v>20.93</v>
      </c>
      <c r="AD51" s="161">
        <v>23949.42</v>
      </c>
      <c r="AE51" s="161">
        <v>414.22</v>
      </c>
      <c r="AF51" s="161">
        <v>19.95</v>
      </c>
      <c r="AG51" s="161">
        <v>14.42</v>
      </c>
      <c r="AH51" s="161" t="s">
        <v>350</v>
      </c>
      <c r="AI51" s="161">
        <v>33.909999999999997</v>
      </c>
      <c r="AJ51" s="161">
        <v>79.260000000000005</v>
      </c>
      <c r="AK51" s="164">
        <v>0.05</v>
      </c>
      <c r="AL51" s="172">
        <v>0</v>
      </c>
      <c r="AM51" s="164">
        <v>0.42799999999999999</v>
      </c>
      <c r="AN51" s="164">
        <v>9.6720000000000006</v>
      </c>
      <c r="AO51" s="164">
        <v>471.74599999999998</v>
      </c>
      <c r="AP51" s="164">
        <v>134.523</v>
      </c>
      <c r="AQ51" s="173">
        <v>31.896874780067879</v>
      </c>
      <c r="AR51" s="312" t="s">
        <v>250</v>
      </c>
      <c r="AS51" s="312" t="s">
        <v>251</v>
      </c>
      <c r="AT51" s="312" t="s">
        <v>252</v>
      </c>
      <c r="AU51" s="312" t="s">
        <v>253</v>
      </c>
      <c r="AV51" s="312" t="s">
        <v>254</v>
      </c>
      <c r="AW51" s="312" t="s">
        <v>255</v>
      </c>
      <c r="AX51" s="312" t="s">
        <v>256</v>
      </c>
      <c r="AY51" s="312" t="s">
        <v>257</v>
      </c>
      <c r="AZ51" s="312" t="s">
        <v>258</v>
      </c>
      <c r="BA51" s="312" t="s">
        <v>259</v>
      </c>
      <c r="BB51" s="312" t="s">
        <v>260</v>
      </c>
      <c r="BC51" s="312" t="s">
        <v>261</v>
      </c>
      <c r="BD51" s="312" t="s">
        <v>262</v>
      </c>
      <c r="BE51" s="312" t="s">
        <v>263</v>
      </c>
      <c r="BF51" s="312" t="s">
        <v>262</v>
      </c>
      <c r="BG51" s="312" t="s">
        <v>264</v>
      </c>
      <c r="BH51" s="312" t="s">
        <v>265</v>
      </c>
      <c r="BI51" s="312" t="s">
        <v>261</v>
      </c>
      <c r="BJ51" s="312" t="s">
        <v>250</v>
      </c>
      <c r="BK51" s="312" t="s">
        <v>264</v>
      </c>
      <c r="BL51" s="312" t="s">
        <v>266</v>
      </c>
      <c r="BM51" s="312" t="s">
        <v>267</v>
      </c>
      <c r="BN51" s="312" t="s">
        <v>266</v>
      </c>
      <c r="BO51" s="312" t="s">
        <v>268</v>
      </c>
      <c r="BP51" s="312" t="s">
        <v>264</v>
      </c>
      <c r="BQ51" s="312" t="s">
        <v>265</v>
      </c>
      <c r="BR51" s="312" t="s">
        <v>269</v>
      </c>
      <c r="BS51" s="312" t="s">
        <v>264</v>
      </c>
      <c r="BT51" s="312" t="s">
        <v>270</v>
      </c>
      <c r="BU51" s="312" t="s">
        <v>271</v>
      </c>
      <c r="BV51" s="312" t="s">
        <v>272</v>
      </c>
      <c r="BW51" s="312" t="s">
        <v>273</v>
      </c>
      <c r="BX51" s="312" t="s">
        <v>274</v>
      </c>
      <c r="BY51" s="312" t="s">
        <v>275</v>
      </c>
      <c r="BZ51" s="313">
        <v>2.5999999999999999E-2</v>
      </c>
      <c r="CA51" s="142">
        <v>68.337933453796921</v>
      </c>
      <c r="CB51" s="174">
        <v>2.0030000000000001</v>
      </c>
      <c r="CC51" s="175">
        <v>8.423</v>
      </c>
      <c r="CD51" s="171">
        <v>44.289000000000001</v>
      </c>
      <c r="CE51" s="174">
        <v>8.3317110000000003</v>
      </c>
      <c r="CF51" s="175">
        <v>82.054847999999978</v>
      </c>
      <c r="CG51" s="171">
        <v>9.6134419999999992</v>
      </c>
    </row>
    <row r="52" spans="1:85" s="142" customFormat="1" ht="15.75" thickBot="1" x14ac:dyDescent="0.3">
      <c r="A52" s="142" t="s">
        <v>112</v>
      </c>
      <c r="B52" s="142" t="s">
        <v>64</v>
      </c>
      <c r="C52" s="142" t="s">
        <v>159</v>
      </c>
      <c r="D52" s="142" t="s">
        <v>82</v>
      </c>
      <c r="E52" s="142">
        <v>3</v>
      </c>
      <c r="F52" s="176" t="s">
        <v>161</v>
      </c>
      <c r="G52" s="176" t="s">
        <v>162</v>
      </c>
      <c r="H52" s="177">
        <v>44410</v>
      </c>
      <c r="I52" s="178">
        <v>0.45277777777777778</v>
      </c>
      <c r="J52" s="179">
        <v>20.9</v>
      </c>
      <c r="K52" s="180">
        <v>7.3869999999999996</v>
      </c>
      <c r="L52" s="176">
        <v>0.6</v>
      </c>
      <c r="M52" s="176">
        <v>0.13669999999999999</v>
      </c>
      <c r="N52" s="176">
        <v>-37.799999999999997</v>
      </c>
      <c r="O52" s="176">
        <v>18</v>
      </c>
      <c r="P52" s="181">
        <v>1118745762.7118645</v>
      </c>
      <c r="Q52" s="182">
        <v>7.1333333333333337</v>
      </c>
      <c r="R52" s="183">
        <v>0.4</v>
      </c>
      <c r="S52" s="183">
        <v>0.73333333333333328</v>
      </c>
      <c r="T52" s="184">
        <v>8.6666666666666679</v>
      </c>
      <c r="U52" s="185">
        <v>5.4959086413092368</v>
      </c>
      <c r="V52" s="183">
        <v>29.353508608108012</v>
      </c>
      <c r="W52" s="186">
        <f t="shared" si="0"/>
        <v>15.770446323320195</v>
      </c>
      <c r="X52" s="180">
        <v>6151.85</v>
      </c>
      <c r="Y52" s="176">
        <v>6.66</v>
      </c>
      <c r="Z52" s="176">
        <v>7.0000000000000007E-2</v>
      </c>
      <c r="AA52" s="176">
        <v>5.07</v>
      </c>
      <c r="AB52" s="176">
        <v>27.66</v>
      </c>
      <c r="AC52" s="176">
        <v>10.82</v>
      </c>
      <c r="AD52" s="176">
        <v>23281.9</v>
      </c>
      <c r="AE52" s="176">
        <v>389.36</v>
      </c>
      <c r="AF52" s="176">
        <v>19.48</v>
      </c>
      <c r="AG52" s="176">
        <v>14.33</v>
      </c>
      <c r="AH52" s="176" t="s">
        <v>350</v>
      </c>
      <c r="AI52" s="176">
        <v>32.799999999999997</v>
      </c>
      <c r="AJ52" s="176">
        <v>78.12</v>
      </c>
      <c r="AK52" s="179">
        <v>0.05</v>
      </c>
      <c r="AL52" s="187">
        <v>0</v>
      </c>
      <c r="AM52" s="179">
        <v>0.20499999999999999</v>
      </c>
      <c r="AN52" s="179">
        <v>4.2889999999999997</v>
      </c>
      <c r="AO52" s="179">
        <v>471.077</v>
      </c>
      <c r="AP52" s="179">
        <v>157.19300000000001</v>
      </c>
      <c r="AQ52" s="188">
        <v>42.1740260624196</v>
      </c>
      <c r="AR52" s="312" t="s">
        <v>250</v>
      </c>
      <c r="AS52" s="312" t="s">
        <v>251</v>
      </c>
      <c r="AT52" s="312" t="s">
        <v>252</v>
      </c>
      <c r="AU52" s="312" t="s">
        <v>253</v>
      </c>
      <c r="AV52" s="312" t="s">
        <v>254</v>
      </c>
      <c r="AW52" s="312" t="s">
        <v>255</v>
      </c>
      <c r="AX52" s="312" t="s">
        <v>256</v>
      </c>
      <c r="AY52" s="312" t="s">
        <v>257</v>
      </c>
      <c r="AZ52" s="312" t="s">
        <v>258</v>
      </c>
      <c r="BA52" s="312" t="s">
        <v>259</v>
      </c>
      <c r="BB52" s="312" t="s">
        <v>260</v>
      </c>
      <c r="BC52" s="312" t="s">
        <v>261</v>
      </c>
      <c r="BD52" s="312" t="s">
        <v>262</v>
      </c>
      <c r="BE52" s="312" t="s">
        <v>263</v>
      </c>
      <c r="BF52" s="312" t="s">
        <v>262</v>
      </c>
      <c r="BG52" s="312" t="s">
        <v>264</v>
      </c>
      <c r="BH52" s="312" t="s">
        <v>265</v>
      </c>
      <c r="BI52" s="312" t="s">
        <v>261</v>
      </c>
      <c r="BJ52" s="312" t="s">
        <v>250</v>
      </c>
      <c r="BK52" s="312" t="s">
        <v>264</v>
      </c>
      <c r="BL52" s="312" t="s">
        <v>266</v>
      </c>
      <c r="BM52" s="312" t="s">
        <v>267</v>
      </c>
      <c r="BN52" s="312" t="s">
        <v>266</v>
      </c>
      <c r="BO52" s="312" t="s">
        <v>268</v>
      </c>
      <c r="BP52" s="312" t="s">
        <v>264</v>
      </c>
      <c r="BQ52" s="312" t="s">
        <v>265</v>
      </c>
      <c r="BR52" s="312" t="s">
        <v>269</v>
      </c>
      <c r="BS52" s="312" t="s">
        <v>264</v>
      </c>
      <c r="BT52" s="312" t="s">
        <v>270</v>
      </c>
      <c r="BU52" s="312" t="s">
        <v>271</v>
      </c>
      <c r="BV52" s="312" t="s">
        <v>272</v>
      </c>
      <c r="BW52" s="312" t="s">
        <v>273</v>
      </c>
      <c r="BX52" s="312" t="s">
        <v>274</v>
      </c>
      <c r="BY52" s="312" t="s">
        <v>275</v>
      </c>
      <c r="BZ52" s="313">
        <v>2.5999999999999999E-2</v>
      </c>
      <c r="CA52" s="142">
        <v>63.243609745179754</v>
      </c>
      <c r="CB52" s="189">
        <v>1.831</v>
      </c>
      <c r="CC52" s="190">
        <v>8.9849999999999994</v>
      </c>
      <c r="CD52" s="191">
        <v>168.178</v>
      </c>
      <c r="CE52" s="189">
        <v>9.6838829999999998</v>
      </c>
      <c r="CF52" s="190">
        <v>69.547775000000001</v>
      </c>
      <c r="CG52" s="191">
        <v>20.768342999999994</v>
      </c>
    </row>
    <row r="53" spans="1:85" s="142" customFormat="1" x14ac:dyDescent="0.25">
      <c r="A53" s="142" t="s">
        <v>113</v>
      </c>
      <c r="B53" s="142" t="s">
        <v>81</v>
      </c>
      <c r="C53" s="142" t="s">
        <v>159</v>
      </c>
      <c r="D53" s="142" t="s">
        <v>83</v>
      </c>
      <c r="E53" s="142">
        <v>1</v>
      </c>
      <c r="F53" s="192" t="s">
        <v>163</v>
      </c>
      <c r="G53" s="192" t="s">
        <v>164</v>
      </c>
      <c r="H53" s="162">
        <v>44407</v>
      </c>
      <c r="I53" s="193">
        <v>0.42708333333333331</v>
      </c>
      <c r="J53" s="194">
        <v>21.5</v>
      </c>
      <c r="K53" s="195">
        <v>7.0670000000000002</v>
      </c>
      <c r="L53" s="192">
        <v>1.8</v>
      </c>
      <c r="M53" s="192">
        <v>3.39</v>
      </c>
      <c r="N53" s="192">
        <v>-26.2</v>
      </c>
      <c r="O53" s="192">
        <v>14</v>
      </c>
      <c r="P53" s="196">
        <v>1857736188.436831</v>
      </c>
      <c r="Q53" s="197">
        <v>1.1333333333333333</v>
      </c>
      <c r="R53" s="198">
        <v>0.43333333333333335</v>
      </c>
      <c r="S53" s="198">
        <v>1.6</v>
      </c>
      <c r="T53" s="199">
        <v>3.4555555555555557</v>
      </c>
      <c r="U53" s="200">
        <v>7.4840308013718282</v>
      </c>
      <c r="V53" s="198">
        <v>57.451507180895121</v>
      </c>
      <c r="W53" s="153">
        <f t="shared" si="0"/>
        <v>11.52532347297349</v>
      </c>
      <c r="X53" s="195">
        <v>6321.9</v>
      </c>
      <c r="Y53" s="192">
        <v>20.89</v>
      </c>
      <c r="Z53" s="192">
        <v>0.09</v>
      </c>
      <c r="AA53" s="192">
        <v>7.32</v>
      </c>
      <c r="AB53" s="192">
        <v>34.08</v>
      </c>
      <c r="AC53" s="192">
        <v>14.84</v>
      </c>
      <c r="AD53" s="192">
        <v>31327.360000000001</v>
      </c>
      <c r="AE53" s="192">
        <v>677.95</v>
      </c>
      <c r="AF53" s="192">
        <v>25.43</v>
      </c>
      <c r="AG53" s="192">
        <v>14.66</v>
      </c>
      <c r="AH53" s="192" t="s">
        <v>348</v>
      </c>
      <c r="AI53" s="192">
        <v>46.18</v>
      </c>
      <c r="AJ53" s="192">
        <v>94.21</v>
      </c>
      <c r="AK53" s="194">
        <v>7.0000000000000007E-2</v>
      </c>
      <c r="AL53" s="201">
        <v>0</v>
      </c>
      <c r="AM53" s="194">
        <v>0.16900000000000001</v>
      </c>
      <c r="AN53" s="194">
        <v>3.8980000000000001</v>
      </c>
      <c r="AO53" s="194">
        <v>467.30399999999997</v>
      </c>
      <c r="AP53" s="194">
        <v>99.405000000000001</v>
      </c>
      <c r="AQ53" s="202">
        <v>46.988494246944917</v>
      </c>
      <c r="AR53" s="312" t="s">
        <v>276</v>
      </c>
      <c r="AS53" s="312" t="s">
        <v>277</v>
      </c>
      <c r="AT53" s="312" t="s">
        <v>278</v>
      </c>
      <c r="AU53" s="312" t="s">
        <v>279</v>
      </c>
      <c r="AV53" s="312" t="s">
        <v>276</v>
      </c>
      <c r="AW53" s="312" t="s">
        <v>280</v>
      </c>
      <c r="AX53" s="312" t="s">
        <v>281</v>
      </c>
      <c r="AY53" s="312" t="s">
        <v>267</v>
      </c>
      <c r="AZ53" s="312" t="s">
        <v>282</v>
      </c>
      <c r="BA53" s="312" t="s">
        <v>273</v>
      </c>
      <c r="BB53" s="312" t="s">
        <v>283</v>
      </c>
      <c r="BC53" s="312" t="s">
        <v>261</v>
      </c>
      <c r="BD53" s="312" t="s">
        <v>284</v>
      </c>
      <c r="BE53" s="312" t="s">
        <v>263</v>
      </c>
      <c r="BF53" s="312" t="s">
        <v>262</v>
      </c>
      <c r="BG53" s="312" t="s">
        <v>271</v>
      </c>
      <c r="BH53" s="312" t="s">
        <v>285</v>
      </c>
      <c r="BI53" s="312" t="s">
        <v>261</v>
      </c>
      <c r="BJ53" s="312" t="s">
        <v>264</v>
      </c>
      <c r="BK53" s="312" t="s">
        <v>271</v>
      </c>
      <c r="BL53" s="312" t="s">
        <v>286</v>
      </c>
      <c r="BM53" s="312" t="s">
        <v>264</v>
      </c>
      <c r="BN53" s="313">
        <v>3.3000000000000002E-2</v>
      </c>
      <c r="BO53" s="312" t="s">
        <v>274</v>
      </c>
      <c r="BP53" s="312" t="s">
        <v>254</v>
      </c>
      <c r="BQ53" s="312" t="s">
        <v>273</v>
      </c>
      <c r="BR53" s="312" t="s">
        <v>254</v>
      </c>
      <c r="BS53" s="312" t="s">
        <v>264</v>
      </c>
      <c r="BT53" s="312" t="s">
        <v>272</v>
      </c>
      <c r="BU53" s="312" t="s">
        <v>271</v>
      </c>
      <c r="BV53" s="312" t="s">
        <v>287</v>
      </c>
      <c r="BW53" s="312" t="s">
        <v>265</v>
      </c>
      <c r="BX53" s="312" t="s">
        <v>254</v>
      </c>
      <c r="BY53" s="312" t="s">
        <v>288</v>
      </c>
      <c r="BZ53" s="312" t="s">
        <v>289</v>
      </c>
      <c r="CA53" s="142">
        <v>69.839136107677518</v>
      </c>
      <c r="CB53" s="203">
        <v>1.9930000000000001</v>
      </c>
      <c r="CC53" s="204">
        <v>9.4909999999999997</v>
      </c>
      <c r="CD53" s="153">
        <v>51.856999999999999</v>
      </c>
      <c r="CE53" s="203">
        <v>8.4126799999999999</v>
      </c>
      <c r="CF53" s="204">
        <v>80.168641000000008</v>
      </c>
      <c r="CG53" s="153">
        <v>11.418678</v>
      </c>
    </row>
    <row r="54" spans="1:85" s="142" customFormat="1" x14ac:dyDescent="0.25">
      <c r="A54" s="142" t="s">
        <v>114</v>
      </c>
      <c r="B54" s="142" t="s">
        <v>81</v>
      </c>
      <c r="C54" s="142" t="s">
        <v>159</v>
      </c>
      <c r="D54" s="142" t="s">
        <v>83</v>
      </c>
      <c r="E54" s="142">
        <v>2</v>
      </c>
      <c r="F54" s="161" t="s">
        <v>163</v>
      </c>
      <c r="G54" s="161" t="s">
        <v>164</v>
      </c>
      <c r="H54" s="162">
        <v>44407</v>
      </c>
      <c r="I54" s="163">
        <v>0.43958333333333338</v>
      </c>
      <c r="J54" s="164">
        <v>21.4</v>
      </c>
      <c r="K54" s="165">
        <v>7.1609999999999996</v>
      </c>
      <c r="L54" s="161">
        <v>1.8</v>
      </c>
      <c r="M54" s="161">
        <v>3.47</v>
      </c>
      <c r="N54" s="161">
        <v>-27.2</v>
      </c>
      <c r="O54" s="161">
        <v>16</v>
      </c>
      <c r="P54" s="166">
        <v>1762850107.0663812</v>
      </c>
      <c r="Q54" s="167">
        <v>0.66666666666666663</v>
      </c>
      <c r="R54" s="168">
        <v>0.76666666666666672</v>
      </c>
      <c r="S54" s="168">
        <v>2.5666666666666669</v>
      </c>
      <c r="T54" s="169">
        <v>4.2777777777777777</v>
      </c>
      <c r="U54" s="170">
        <v>10.36351004007817</v>
      </c>
      <c r="V54" s="168">
        <v>58.173443202757433</v>
      </c>
      <c r="W54" s="171">
        <f t="shared" si="0"/>
        <v>15.121054481892221</v>
      </c>
      <c r="X54" s="165">
        <v>6380.44</v>
      </c>
      <c r="Y54" s="161">
        <v>19.63</v>
      </c>
      <c r="Z54" s="161">
        <v>0.08</v>
      </c>
      <c r="AA54" s="161">
        <v>7.13</v>
      </c>
      <c r="AB54" s="161">
        <v>32.049999999999997</v>
      </c>
      <c r="AC54" s="161">
        <v>14.59</v>
      </c>
      <c r="AD54" s="161">
        <v>30624.37</v>
      </c>
      <c r="AE54" s="161">
        <v>660.91</v>
      </c>
      <c r="AF54" s="161">
        <v>24.29</v>
      </c>
      <c r="AG54" s="161">
        <v>15.25</v>
      </c>
      <c r="AH54" s="161" t="s">
        <v>350</v>
      </c>
      <c r="AI54" s="161">
        <v>44.8</v>
      </c>
      <c r="AJ54" s="161">
        <v>90.85</v>
      </c>
      <c r="AK54" s="164">
        <v>0.06</v>
      </c>
      <c r="AL54" s="172">
        <v>0</v>
      </c>
      <c r="AM54" s="164">
        <v>0.17699999999999999</v>
      </c>
      <c r="AN54" s="164">
        <v>4.4619999999999997</v>
      </c>
      <c r="AO54" s="164">
        <v>458.16</v>
      </c>
      <c r="AP54" s="164">
        <v>114.193</v>
      </c>
      <c r="AQ54" s="173">
        <v>47.697050247297994</v>
      </c>
      <c r="AR54" s="312" t="s">
        <v>276</v>
      </c>
      <c r="AS54" s="312" t="s">
        <v>277</v>
      </c>
      <c r="AT54" s="312" t="s">
        <v>278</v>
      </c>
      <c r="AU54" s="312" t="s">
        <v>279</v>
      </c>
      <c r="AV54" s="312" t="s">
        <v>276</v>
      </c>
      <c r="AW54" s="312" t="s">
        <v>280</v>
      </c>
      <c r="AX54" s="312" t="s">
        <v>281</v>
      </c>
      <c r="AY54" s="312" t="s">
        <v>267</v>
      </c>
      <c r="AZ54" s="312" t="s">
        <v>282</v>
      </c>
      <c r="BA54" s="312" t="s">
        <v>273</v>
      </c>
      <c r="BB54" s="312" t="s">
        <v>283</v>
      </c>
      <c r="BC54" s="312" t="s">
        <v>261</v>
      </c>
      <c r="BD54" s="312" t="s">
        <v>284</v>
      </c>
      <c r="BE54" s="312" t="s">
        <v>263</v>
      </c>
      <c r="BF54" s="312" t="s">
        <v>262</v>
      </c>
      <c r="BG54" s="312" t="s">
        <v>271</v>
      </c>
      <c r="BH54" s="312" t="s">
        <v>285</v>
      </c>
      <c r="BI54" s="312" t="s">
        <v>261</v>
      </c>
      <c r="BJ54" s="312" t="s">
        <v>264</v>
      </c>
      <c r="BK54" s="312" t="s">
        <v>271</v>
      </c>
      <c r="BL54" s="312" t="s">
        <v>286</v>
      </c>
      <c r="BM54" s="312" t="s">
        <v>264</v>
      </c>
      <c r="BN54" s="313">
        <v>3.3000000000000002E-2</v>
      </c>
      <c r="BO54" s="312" t="s">
        <v>274</v>
      </c>
      <c r="BP54" s="312" t="s">
        <v>254</v>
      </c>
      <c r="BQ54" s="312" t="s">
        <v>273</v>
      </c>
      <c r="BR54" s="312" t="s">
        <v>254</v>
      </c>
      <c r="BS54" s="312" t="s">
        <v>264</v>
      </c>
      <c r="BT54" s="312" t="s">
        <v>272</v>
      </c>
      <c r="BU54" s="312" t="s">
        <v>271</v>
      </c>
      <c r="BV54" s="312" t="s">
        <v>287</v>
      </c>
      <c r="BW54" s="312" t="s">
        <v>265</v>
      </c>
      <c r="BX54" s="312" t="s">
        <v>254</v>
      </c>
      <c r="BY54" s="312" t="s">
        <v>288</v>
      </c>
      <c r="BZ54" s="312" t="s">
        <v>289</v>
      </c>
      <c r="CA54" s="142">
        <v>68.279414365791609</v>
      </c>
      <c r="CB54" s="174">
        <v>2.073</v>
      </c>
      <c r="CC54" s="175">
        <v>8.4459999999999997</v>
      </c>
      <c r="CD54" s="171">
        <v>84.945999999999998</v>
      </c>
      <c r="CE54" s="174">
        <v>7.8165000000000004</v>
      </c>
      <c r="CF54" s="175">
        <v>77.493976000000004</v>
      </c>
      <c r="CG54" s="171">
        <v>14.689522999999996</v>
      </c>
    </row>
    <row r="55" spans="1:85" s="142" customFormat="1" ht="15.75" thickBot="1" x14ac:dyDescent="0.3">
      <c r="A55" s="142" t="s">
        <v>115</v>
      </c>
      <c r="B55" s="142" t="s">
        <v>81</v>
      </c>
      <c r="C55" s="142" t="s">
        <v>159</v>
      </c>
      <c r="D55" s="142" t="s">
        <v>83</v>
      </c>
      <c r="E55" s="142">
        <v>3</v>
      </c>
      <c r="F55" s="205" t="s">
        <v>163</v>
      </c>
      <c r="G55" s="205" t="s">
        <v>164</v>
      </c>
      <c r="H55" s="162">
        <v>44407</v>
      </c>
      <c r="I55" s="206">
        <v>0.41875000000000001</v>
      </c>
      <c r="J55" s="207">
        <v>21.2</v>
      </c>
      <c r="K55" s="208">
        <v>7.19</v>
      </c>
      <c r="L55" s="205">
        <v>1.8</v>
      </c>
      <c r="M55" s="205">
        <v>3.41</v>
      </c>
      <c r="N55" s="205">
        <v>-20.399999999999999</v>
      </c>
      <c r="O55" s="205">
        <v>15</v>
      </c>
      <c r="P55" s="209">
        <v>1498501927.1948609</v>
      </c>
      <c r="Q55" s="210">
        <v>0.56666666666666665</v>
      </c>
      <c r="R55" s="211">
        <v>0.8666666666666667</v>
      </c>
      <c r="S55" s="212">
        <v>1.2</v>
      </c>
      <c r="T55" s="213">
        <v>3.1111111111111107</v>
      </c>
      <c r="U55" s="214">
        <v>17.304972406334063</v>
      </c>
      <c r="V55" s="211">
        <v>67.736963850555469</v>
      </c>
      <c r="W55" s="186">
        <f t="shared" si="0"/>
        <v>20.348751648904432</v>
      </c>
      <c r="X55" s="208">
        <v>6458.42</v>
      </c>
      <c r="Y55" s="205">
        <v>20.95</v>
      </c>
      <c r="Z55" s="205">
        <v>0.09</v>
      </c>
      <c r="AA55" s="205">
        <v>7.4</v>
      </c>
      <c r="AB55" s="205">
        <v>33.409999999999997</v>
      </c>
      <c r="AC55" s="205">
        <v>15.15</v>
      </c>
      <c r="AD55" s="205">
        <v>30854.83</v>
      </c>
      <c r="AE55" s="205">
        <v>680.9</v>
      </c>
      <c r="AF55" s="205">
        <v>25.68</v>
      </c>
      <c r="AG55" s="205">
        <v>14.5</v>
      </c>
      <c r="AH55" s="205" t="s">
        <v>348</v>
      </c>
      <c r="AI55" s="205">
        <v>47.39</v>
      </c>
      <c r="AJ55" s="205">
        <v>100.72</v>
      </c>
      <c r="AK55" s="207">
        <v>7.0000000000000007E-2</v>
      </c>
      <c r="AL55" s="215">
        <v>0</v>
      </c>
      <c r="AM55" s="207">
        <v>0.20899999999999999</v>
      </c>
      <c r="AN55" s="207">
        <v>5.1790000000000003</v>
      </c>
      <c r="AO55" s="207">
        <v>463.17099999999999</v>
      </c>
      <c r="AP55" s="207">
        <v>151.69300000000001</v>
      </c>
      <c r="AQ55" s="216">
        <v>49.527605356920375</v>
      </c>
      <c r="AR55" s="312" t="s">
        <v>276</v>
      </c>
      <c r="AS55" s="312" t="s">
        <v>277</v>
      </c>
      <c r="AT55" s="312" t="s">
        <v>278</v>
      </c>
      <c r="AU55" s="312" t="s">
        <v>279</v>
      </c>
      <c r="AV55" s="312" t="s">
        <v>276</v>
      </c>
      <c r="AW55" s="312" t="s">
        <v>280</v>
      </c>
      <c r="AX55" s="312" t="s">
        <v>281</v>
      </c>
      <c r="AY55" s="312" t="s">
        <v>267</v>
      </c>
      <c r="AZ55" s="312" t="s">
        <v>282</v>
      </c>
      <c r="BA55" s="312" t="s">
        <v>273</v>
      </c>
      <c r="BB55" s="312" t="s">
        <v>283</v>
      </c>
      <c r="BC55" s="312" t="s">
        <v>261</v>
      </c>
      <c r="BD55" s="312" t="s">
        <v>284</v>
      </c>
      <c r="BE55" s="312" t="s">
        <v>263</v>
      </c>
      <c r="BF55" s="312" t="s">
        <v>262</v>
      </c>
      <c r="BG55" s="312" t="s">
        <v>271</v>
      </c>
      <c r="BH55" s="312" t="s">
        <v>285</v>
      </c>
      <c r="BI55" s="312" t="s">
        <v>261</v>
      </c>
      <c r="BJ55" s="312" t="s">
        <v>264</v>
      </c>
      <c r="BK55" s="312" t="s">
        <v>271</v>
      </c>
      <c r="BL55" s="312" t="s">
        <v>286</v>
      </c>
      <c r="BM55" s="312" t="s">
        <v>264</v>
      </c>
      <c r="BN55" s="313">
        <v>3.3000000000000002E-2</v>
      </c>
      <c r="BO55" s="312" t="s">
        <v>274</v>
      </c>
      <c r="BP55" s="312" t="s">
        <v>254</v>
      </c>
      <c r="BQ55" s="312" t="s">
        <v>273</v>
      </c>
      <c r="BR55" s="312" t="s">
        <v>254</v>
      </c>
      <c r="BS55" s="312" t="s">
        <v>264</v>
      </c>
      <c r="BT55" s="312" t="s">
        <v>272</v>
      </c>
      <c r="BU55" s="312" t="s">
        <v>271</v>
      </c>
      <c r="BV55" s="312" t="s">
        <v>287</v>
      </c>
      <c r="BW55" s="312" t="s">
        <v>265</v>
      </c>
      <c r="BX55" s="312" t="s">
        <v>254</v>
      </c>
      <c r="BY55" s="312" t="s">
        <v>288</v>
      </c>
      <c r="BZ55" s="312" t="s">
        <v>289</v>
      </c>
      <c r="CA55" s="142">
        <v>69.071168672733336</v>
      </c>
      <c r="CB55" s="217">
        <v>1.8180000000000001</v>
      </c>
      <c r="CC55" s="218">
        <v>7.6</v>
      </c>
      <c r="CD55" s="186">
        <v>39.042999999999999</v>
      </c>
      <c r="CE55" s="217">
        <v>9.7887599999999999</v>
      </c>
      <c r="CF55" s="218">
        <v>81.750907999999995</v>
      </c>
      <c r="CG55" s="186">
        <v>8.4603329999999985</v>
      </c>
    </row>
    <row r="56" spans="1:85" s="142" customFormat="1" x14ac:dyDescent="0.25">
      <c r="A56" s="142" t="s">
        <v>116</v>
      </c>
      <c r="B56" s="142" t="s">
        <v>75</v>
      </c>
      <c r="C56" s="142" t="s">
        <v>159</v>
      </c>
      <c r="D56" s="142" t="s">
        <v>84</v>
      </c>
      <c r="E56" s="142">
        <v>1</v>
      </c>
      <c r="F56" s="143" t="s">
        <v>165</v>
      </c>
      <c r="G56" s="143" t="s">
        <v>166</v>
      </c>
      <c r="H56" s="144">
        <v>44403</v>
      </c>
      <c r="I56" s="145">
        <v>0.43055555555555558</v>
      </c>
      <c r="J56" s="146">
        <v>20.399999999999999</v>
      </c>
      <c r="K56" s="147">
        <v>7.0060000000000002</v>
      </c>
      <c r="L56" s="143">
        <v>19</v>
      </c>
      <c r="M56" s="143">
        <v>30.3</v>
      </c>
      <c r="N56" s="143">
        <v>-17.3</v>
      </c>
      <c r="O56" s="143">
        <v>7.2</v>
      </c>
      <c r="P56" s="148">
        <v>9097322055.6745186</v>
      </c>
      <c r="Q56" s="149">
        <v>93.066666666666663</v>
      </c>
      <c r="R56" s="150">
        <v>2.1333333333333333</v>
      </c>
      <c r="S56" s="219">
        <v>2.4</v>
      </c>
      <c r="T56" s="151">
        <v>98.666666666666671</v>
      </c>
      <c r="U56" s="152">
        <v>16.287985444778961</v>
      </c>
      <c r="V56" s="150">
        <v>15.439508472495977</v>
      </c>
      <c r="W56" s="153">
        <f t="shared" si="0"/>
        <v>51.337132038375408</v>
      </c>
      <c r="X56" s="147">
        <v>5439.15</v>
      </c>
      <c r="Y56" s="143">
        <v>10.88</v>
      </c>
      <c r="Z56" s="143">
        <v>0.1</v>
      </c>
      <c r="AA56" s="143">
        <v>3.27</v>
      </c>
      <c r="AB56" s="143">
        <v>18.649999999999999</v>
      </c>
      <c r="AC56" s="143">
        <v>9.32</v>
      </c>
      <c r="AD56" s="143">
        <v>14601.49</v>
      </c>
      <c r="AE56" s="143">
        <v>173.47</v>
      </c>
      <c r="AF56" s="143">
        <v>11.11</v>
      </c>
      <c r="AG56" s="143">
        <v>9.65</v>
      </c>
      <c r="AH56" s="143" t="s">
        <v>348</v>
      </c>
      <c r="AI56" s="143">
        <v>26.63</v>
      </c>
      <c r="AJ56" s="143">
        <v>56.78</v>
      </c>
      <c r="AK56" s="146">
        <v>0.05</v>
      </c>
      <c r="AL56" s="156">
        <v>0</v>
      </c>
      <c r="AM56" s="146">
        <v>0.52500000000000002</v>
      </c>
      <c r="AN56" s="146">
        <v>6.923</v>
      </c>
      <c r="AO56" s="146">
        <v>314.21800000000002</v>
      </c>
      <c r="AP56" s="146">
        <v>76.316000000000003</v>
      </c>
      <c r="AQ56" s="157">
        <v>56.332872139272737</v>
      </c>
      <c r="AR56" s="313">
        <v>8.9999999999999993E-3</v>
      </c>
      <c r="AS56" s="312" t="s">
        <v>290</v>
      </c>
      <c r="AT56" s="312" t="s">
        <v>291</v>
      </c>
      <c r="AU56" s="312" t="s">
        <v>292</v>
      </c>
      <c r="AV56" s="312" t="s">
        <v>293</v>
      </c>
      <c r="AW56" s="312" t="s">
        <v>294</v>
      </c>
      <c r="AX56" s="312" t="s">
        <v>295</v>
      </c>
      <c r="AY56" s="312" t="s">
        <v>257</v>
      </c>
      <c r="AZ56" s="312" t="s">
        <v>296</v>
      </c>
      <c r="BA56" s="312" t="s">
        <v>297</v>
      </c>
      <c r="BB56" s="312" t="s">
        <v>298</v>
      </c>
      <c r="BC56" s="312" t="s">
        <v>261</v>
      </c>
      <c r="BD56" s="312" t="s">
        <v>299</v>
      </c>
      <c r="BE56" s="312" t="s">
        <v>300</v>
      </c>
      <c r="BF56" s="313">
        <v>6.8000000000000005E-2</v>
      </c>
      <c r="BG56" s="312" t="s">
        <v>264</v>
      </c>
      <c r="BH56" s="312" t="s">
        <v>268</v>
      </c>
      <c r="BI56" s="312" t="s">
        <v>261</v>
      </c>
      <c r="BJ56" s="312" t="s">
        <v>267</v>
      </c>
      <c r="BK56" s="312" t="s">
        <v>264</v>
      </c>
      <c r="BL56" s="312" t="s">
        <v>301</v>
      </c>
      <c r="BM56" s="312" t="s">
        <v>267</v>
      </c>
      <c r="BN56" s="312" t="s">
        <v>302</v>
      </c>
      <c r="BO56" s="312" t="s">
        <v>303</v>
      </c>
      <c r="BP56" s="313">
        <v>0.01</v>
      </c>
      <c r="BQ56" s="312" t="s">
        <v>268</v>
      </c>
      <c r="BR56" s="312" t="s">
        <v>254</v>
      </c>
      <c r="BS56" s="312" t="s">
        <v>250</v>
      </c>
      <c r="BT56" s="312" t="s">
        <v>302</v>
      </c>
      <c r="BU56" s="313">
        <v>0.03</v>
      </c>
      <c r="BV56" s="312" t="s">
        <v>269</v>
      </c>
      <c r="BW56" s="312" t="s">
        <v>265</v>
      </c>
      <c r="BX56" s="312" t="s">
        <v>304</v>
      </c>
      <c r="BY56" s="312" t="s">
        <v>305</v>
      </c>
      <c r="BZ56" s="312" t="s">
        <v>254</v>
      </c>
      <c r="CA56" s="142">
        <v>46.744589834580474</v>
      </c>
      <c r="CB56" s="158">
        <v>2.4860000000000002</v>
      </c>
      <c r="CC56" s="159">
        <v>10.581</v>
      </c>
      <c r="CD56" s="160">
        <v>133.86500000000001</v>
      </c>
      <c r="CE56" s="158">
        <v>5.7698309999999999</v>
      </c>
      <c r="CF56" s="159">
        <v>68.995127999999994</v>
      </c>
      <c r="CG56" s="160">
        <v>25.235039999999998</v>
      </c>
    </row>
    <row r="57" spans="1:85" s="142" customFormat="1" x14ac:dyDescent="0.25">
      <c r="A57" s="142" t="s">
        <v>117</v>
      </c>
      <c r="B57" s="142" t="s">
        <v>75</v>
      </c>
      <c r="C57" s="142" t="s">
        <v>159</v>
      </c>
      <c r="D57" s="142" t="s">
        <v>84</v>
      </c>
      <c r="E57" s="142">
        <v>2</v>
      </c>
      <c r="F57" s="161" t="s">
        <v>165</v>
      </c>
      <c r="G57" s="161" t="s">
        <v>166</v>
      </c>
      <c r="H57" s="162">
        <v>44403</v>
      </c>
      <c r="I57" s="163">
        <v>0.43402777777777773</v>
      </c>
      <c r="J57" s="164">
        <v>20.2</v>
      </c>
      <c r="K57" s="165">
        <v>7.4210000000000003</v>
      </c>
      <c r="L57" s="161">
        <v>16.5</v>
      </c>
      <c r="M57" s="161">
        <v>27</v>
      </c>
      <c r="N57" s="161">
        <v>-41</v>
      </c>
      <c r="O57" s="161">
        <v>7.8</v>
      </c>
      <c r="P57" s="166">
        <v>3566320342.6124201</v>
      </c>
      <c r="Q57" s="167">
        <v>95.466666666666669</v>
      </c>
      <c r="R57" s="168">
        <v>1.8666666666666667</v>
      </c>
      <c r="S57" s="220">
        <v>4.2666666666666666</v>
      </c>
      <c r="T57" s="169">
        <v>102.22222222222221</v>
      </c>
      <c r="U57" s="170">
        <v>3.8542818662607994</v>
      </c>
      <c r="V57" s="168">
        <v>8.1506381829396926</v>
      </c>
      <c r="W57" s="171">
        <f t="shared" si="0"/>
        <v>32.105852021209316</v>
      </c>
      <c r="X57" s="165">
        <v>5628.3</v>
      </c>
      <c r="Y57" s="161">
        <v>14.06</v>
      </c>
      <c r="Z57" s="161">
        <v>0.08</v>
      </c>
      <c r="AA57" s="161">
        <v>3.14</v>
      </c>
      <c r="AB57" s="161">
        <v>17.28</v>
      </c>
      <c r="AC57" s="161">
        <v>7.79</v>
      </c>
      <c r="AD57" s="161">
        <v>15624.3</v>
      </c>
      <c r="AE57" s="161">
        <v>200.09</v>
      </c>
      <c r="AF57" s="161">
        <v>11.16</v>
      </c>
      <c r="AG57" s="161">
        <v>9.14</v>
      </c>
      <c r="AH57" s="161" t="s">
        <v>350</v>
      </c>
      <c r="AI57" s="161">
        <v>26.08</v>
      </c>
      <c r="AJ57" s="161">
        <v>47.08</v>
      </c>
      <c r="AK57" s="164">
        <v>0.04</v>
      </c>
      <c r="AL57" s="172">
        <v>2.1360000000000001</v>
      </c>
      <c r="AM57" s="164">
        <v>0.60899999999999999</v>
      </c>
      <c r="AN57" s="164">
        <v>5.7690000000000001</v>
      </c>
      <c r="AO57" s="164">
        <v>158.84800000000001</v>
      </c>
      <c r="AP57" s="164">
        <v>21.327000000000002</v>
      </c>
      <c r="AQ57" s="173">
        <v>36.486127717028808</v>
      </c>
      <c r="AR57" s="313">
        <v>8.9999999999999993E-3</v>
      </c>
      <c r="AS57" s="312" t="s">
        <v>290</v>
      </c>
      <c r="AT57" s="312" t="s">
        <v>291</v>
      </c>
      <c r="AU57" s="312" t="s">
        <v>292</v>
      </c>
      <c r="AV57" s="312" t="s">
        <v>293</v>
      </c>
      <c r="AW57" s="312" t="s">
        <v>294</v>
      </c>
      <c r="AX57" s="312" t="s">
        <v>295</v>
      </c>
      <c r="AY57" s="312" t="s">
        <v>257</v>
      </c>
      <c r="AZ57" s="312" t="s">
        <v>296</v>
      </c>
      <c r="BA57" s="312" t="s">
        <v>297</v>
      </c>
      <c r="BB57" s="312" t="s">
        <v>298</v>
      </c>
      <c r="BC57" s="312" t="s">
        <v>261</v>
      </c>
      <c r="BD57" s="312" t="s">
        <v>299</v>
      </c>
      <c r="BE57" s="312" t="s">
        <v>300</v>
      </c>
      <c r="BF57" s="313">
        <v>6.8000000000000005E-2</v>
      </c>
      <c r="BG57" s="312" t="s">
        <v>264</v>
      </c>
      <c r="BH57" s="312" t="s">
        <v>268</v>
      </c>
      <c r="BI57" s="312" t="s">
        <v>261</v>
      </c>
      <c r="BJ57" s="312" t="s">
        <v>267</v>
      </c>
      <c r="BK57" s="312" t="s">
        <v>264</v>
      </c>
      <c r="BL57" s="312" t="s">
        <v>301</v>
      </c>
      <c r="BM57" s="312" t="s">
        <v>267</v>
      </c>
      <c r="BN57" s="312" t="s">
        <v>302</v>
      </c>
      <c r="BO57" s="312" t="s">
        <v>303</v>
      </c>
      <c r="BP57" s="313">
        <v>0.01</v>
      </c>
      <c r="BQ57" s="312" t="s">
        <v>268</v>
      </c>
      <c r="BR57" s="312" t="s">
        <v>254</v>
      </c>
      <c r="BS57" s="312" t="s">
        <v>250</v>
      </c>
      <c r="BT57" s="312" t="s">
        <v>302</v>
      </c>
      <c r="BU57" s="313">
        <v>0.03</v>
      </c>
      <c r="BV57" s="312" t="s">
        <v>269</v>
      </c>
      <c r="BW57" s="312" t="s">
        <v>265</v>
      </c>
      <c r="BX57" s="312" t="s">
        <v>304</v>
      </c>
      <c r="BY57" s="312" t="s">
        <v>305</v>
      </c>
      <c r="BZ57" s="312" t="s">
        <v>254</v>
      </c>
      <c r="CA57" s="142">
        <v>42.580228713358622</v>
      </c>
      <c r="CB57" s="174">
        <v>2.1789999999999998</v>
      </c>
      <c r="CC57" s="175">
        <v>10.157</v>
      </c>
      <c r="CD57" s="171">
        <v>121.43899999999999</v>
      </c>
      <c r="CE57" s="174">
        <v>7.2951819999999996</v>
      </c>
      <c r="CF57" s="175">
        <v>66.364940000000004</v>
      </c>
      <c r="CG57" s="171">
        <v>26.339876000000004</v>
      </c>
    </row>
    <row r="58" spans="1:85" s="142" customFormat="1" ht="15.75" thickBot="1" x14ac:dyDescent="0.3">
      <c r="A58" s="142" t="s">
        <v>118</v>
      </c>
      <c r="B58" s="142" t="s">
        <v>75</v>
      </c>
      <c r="C58" s="142" t="s">
        <v>159</v>
      </c>
      <c r="D58" s="142" t="s">
        <v>84</v>
      </c>
      <c r="E58" s="142">
        <v>3</v>
      </c>
      <c r="F58" s="176" t="s">
        <v>165</v>
      </c>
      <c r="G58" s="176" t="s">
        <v>166</v>
      </c>
      <c r="H58" s="177">
        <v>44403</v>
      </c>
      <c r="I58" s="178">
        <v>0.4375</v>
      </c>
      <c r="J58" s="179">
        <v>20.100000000000001</v>
      </c>
      <c r="K58" s="180">
        <v>7.0720000000000001</v>
      </c>
      <c r="L58" s="176">
        <v>12.9</v>
      </c>
      <c r="M58" s="176">
        <v>21.4</v>
      </c>
      <c r="N58" s="176">
        <v>-21.1</v>
      </c>
      <c r="O58" s="176">
        <v>8.1999999999999993</v>
      </c>
      <c r="P58" s="181">
        <v>6165373875.8029985</v>
      </c>
      <c r="Q58" s="182">
        <v>91.466666666666669</v>
      </c>
      <c r="R58" s="183">
        <v>2.4</v>
      </c>
      <c r="S58" s="221">
        <v>3.2</v>
      </c>
      <c r="T58" s="184">
        <v>98.488888888888894</v>
      </c>
      <c r="U58" s="185">
        <v>15.051515183515138</v>
      </c>
      <c r="V58" s="183">
        <v>14.498626252747291</v>
      </c>
      <c r="W58" s="186">
        <f t="shared" si="0"/>
        <v>50.935509787593382</v>
      </c>
      <c r="X58" s="180">
        <v>6021.17</v>
      </c>
      <c r="Y58" s="176">
        <v>15.35</v>
      </c>
      <c r="Z58" s="176">
        <v>0.08</v>
      </c>
      <c r="AA58" s="176">
        <v>4.51</v>
      </c>
      <c r="AB58" s="176">
        <v>23.78</v>
      </c>
      <c r="AC58" s="176">
        <v>10.9</v>
      </c>
      <c r="AD58" s="176">
        <v>20423.22</v>
      </c>
      <c r="AE58" s="176">
        <v>257.06</v>
      </c>
      <c r="AF58" s="176">
        <v>16.059999999999999</v>
      </c>
      <c r="AG58" s="176">
        <v>10.67</v>
      </c>
      <c r="AH58" s="176" t="s">
        <v>348</v>
      </c>
      <c r="AI58" s="176">
        <v>34.799999999999997</v>
      </c>
      <c r="AJ58" s="176">
        <v>64.209999999999994</v>
      </c>
      <c r="AK58" s="179">
        <v>0.06</v>
      </c>
      <c r="AL58" s="187">
        <v>0</v>
      </c>
      <c r="AM58" s="179">
        <v>0.61199999999999999</v>
      </c>
      <c r="AN58" s="179">
        <v>5.6680000000000001</v>
      </c>
      <c r="AO58" s="179">
        <v>163.56800000000001</v>
      </c>
      <c r="AP58" s="179">
        <v>33.326000000000001</v>
      </c>
      <c r="AQ58" s="188">
        <v>90.701560483206535</v>
      </c>
      <c r="AR58" s="313">
        <v>8.9999999999999993E-3</v>
      </c>
      <c r="AS58" s="312" t="s">
        <v>290</v>
      </c>
      <c r="AT58" s="312" t="s">
        <v>291</v>
      </c>
      <c r="AU58" s="312" t="s">
        <v>292</v>
      </c>
      <c r="AV58" s="312" t="s">
        <v>293</v>
      </c>
      <c r="AW58" s="312" t="s">
        <v>294</v>
      </c>
      <c r="AX58" s="312" t="s">
        <v>295</v>
      </c>
      <c r="AY58" s="312" t="s">
        <v>257</v>
      </c>
      <c r="AZ58" s="312" t="s">
        <v>296</v>
      </c>
      <c r="BA58" s="312" t="s">
        <v>297</v>
      </c>
      <c r="BB58" s="312" t="s">
        <v>298</v>
      </c>
      <c r="BC58" s="312" t="s">
        <v>261</v>
      </c>
      <c r="BD58" s="312" t="s">
        <v>299</v>
      </c>
      <c r="BE58" s="312" t="s">
        <v>300</v>
      </c>
      <c r="BF58" s="313">
        <v>6.8000000000000005E-2</v>
      </c>
      <c r="BG58" s="312" t="s">
        <v>264</v>
      </c>
      <c r="BH58" s="312" t="s">
        <v>268</v>
      </c>
      <c r="BI58" s="312" t="s">
        <v>261</v>
      </c>
      <c r="BJ58" s="312" t="s">
        <v>267</v>
      </c>
      <c r="BK58" s="312" t="s">
        <v>264</v>
      </c>
      <c r="BL58" s="312" t="s">
        <v>301</v>
      </c>
      <c r="BM58" s="312" t="s">
        <v>267</v>
      </c>
      <c r="BN58" s="312" t="s">
        <v>302</v>
      </c>
      <c r="BO58" s="312" t="s">
        <v>303</v>
      </c>
      <c r="BP58" s="313">
        <v>0.01</v>
      </c>
      <c r="BQ58" s="312" t="s">
        <v>268</v>
      </c>
      <c r="BR58" s="312" t="s">
        <v>254</v>
      </c>
      <c r="BS58" s="312" t="s">
        <v>250</v>
      </c>
      <c r="BT58" s="312" t="s">
        <v>302</v>
      </c>
      <c r="BU58" s="313">
        <v>0.03</v>
      </c>
      <c r="BV58" s="312" t="s">
        <v>269</v>
      </c>
      <c r="BW58" s="312" t="s">
        <v>265</v>
      </c>
      <c r="BX58" s="312" t="s">
        <v>304</v>
      </c>
      <c r="BY58" s="312" t="s">
        <v>305</v>
      </c>
      <c r="BZ58" s="312" t="s">
        <v>254</v>
      </c>
      <c r="CA58" s="142">
        <v>52.144650441653695</v>
      </c>
      <c r="CB58" s="189">
        <v>2.3330000000000002</v>
      </c>
      <c r="CC58" s="190">
        <v>14.098000000000001</v>
      </c>
      <c r="CD58" s="191">
        <v>146.066</v>
      </c>
      <c r="CE58" s="189">
        <v>6.6426649999999992</v>
      </c>
      <c r="CF58" s="190">
        <v>59.627681000000003</v>
      </c>
      <c r="CG58" s="191">
        <v>33.729655000000001</v>
      </c>
    </row>
    <row r="59" spans="1:85" s="142" customFormat="1" x14ac:dyDescent="0.25">
      <c r="A59" s="142" t="s">
        <v>119</v>
      </c>
      <c r="B59" s="142" t="s">
        <v>76</v>
      </c>
      <c r="C59" s="142" t="s">
        <v>159</v>
      </c>
      <c r="D59" s="142" t="s">
        <v>83</v>
      </c>
      <c r="E59" s="142">
        <v>1</v>
      </c>
      <c r="F59" s="192" t="s">
        <v>167</v>
      </c>
      <c r="G59" s="192" t="s">
        <v>168</v>
      </c>
      <c r="H59" s="162">
        <v>44403</v>
      </c>
      <c r="I59" s="193">
        <v>0.53125</v>
      </c>
      <c r="J59" s="194">
        <v>23.4</v>
      </c>
      <c r="K59" s="195">
        <v>7.266</v>
      </c>
      <c r="L59" s="192">
        <v>7</v>
      </c>
      <c r="M59" s="192">
        <v>12.31</v>
      </c>
      <c r="N59" s="192">
        <v>-32.299999999999997</v>
      </c>
      <c r="O59" s="192">
        <v>12</v>
      </c>
      <c r="P59" s="196">
        <v>4422813559.3220339</v>
      </c>
      <c r="Q59" s="197">
        <v>2.6666666666666665</v>
      </c>
      <c r="R59" s="198">
        <v>0.66666666666666663</v>
      </c>
      <c r="S59" s="222">
        <v>0.96666666666666667</v>
      </c>
      <c r="T59" s="199">
        <v>5.2444444444444445</v>
      </c>
      <c r="U59" s="200">
        <v>11.245529939891961</v>
      </c>
      <c r="V59" s="198">
        <v>47.563148561094231</v>
      </c>
      <c r="W59" s="153">
        <f t="shared" si="0"/>
        <v>19.122228600500485</v>
      </c>
      <c r="X59" s="195">
        <v>6485.48</v>
      </c>
      <c r="Y59" s="192">
        <v>17.52</v>
      </c>
      <c r="Z59" s="192">
        <v>0.11</v>
      </c>
      <c r="AA59" s="192">
        <v>7.09</v>
      </c>
      <c r="AB59" s="192">
        <v>34.07</v>
      </c>
      <c r="AC59" s="192">
        <v>18.440000000000001</v>
      </c>
      <c r="AD59" s="192">
        <v>29406.98</v>
      </c>
      <c r="AE59" s="192">
        <v>781.64</v>
      </c>
      <c r="AF59" s="192">
        <v>24.76</v>
      </c>
      <c r="AG59" s="192">
        <v>15.94</v>
      </c>
      <c r="AH59" s="192" t="s">
        <v>348</v>
      </c>
      <c r="AI59" s="192">
        <v>45.97</v>
      </c>
      <c r="AJ59" s="192">
        <v>151.34</v>
      </c>
      <c r="AK59" s="194">
        <v>7.0000000000000007E-2</v>
      </c>
      <c r="AL59" s="201">
        <v>0</v>
      </c>
      <c r="AM59" s="194">
        <v>0.30599999999999999</v>
      </c>
      <c r="AN59" s="194">
        <v>7.0529999999999999</v>
      </c>
      <c r="AO59" s="194">
        <v>461.88600000000002</v>
      </c>
      <c r="AP59" s="194">
        <v>148.38399999999999</v>
      </c>
      <c r="AQ59" s="202">
        <v>29.874043212268226</v>
      </c>
      <c r="AR59" s="312" t="s">
        <v>250</v>
      </c>
      <c r="AS59" s="312" t="s">
        <v>306</v>
      </c>
      <c r="AT59" s="312" t="s">
        <v>307</v>
      </c>
      <c r="AU59" s="312" t="s">
        <v>308</v>
      </c>
      <c r="AV59" s="312" t="s">
        <v>254</v>
      </c>
      <c r="AW59" s="312" t="s">
        <v>291</v>
      </c>
      <c r="AX59" s="312" t="s">
        <v>309</v>
      </c>
      <c r="AY59" s="312" t="s">
        <v>257</v>
      </c>
      <c r="AZ59" s="312" t="s">
        <v>310</v>
      </c>
      <c r="BA59" s="312" t="s">
        <v>259</v>
      </c>
      <c r="BB59" s="312" t="s">
        <v>311</v>
      </c>
      <c r="BC59" s="312" t="s">
        <v>257</v>
      </c>
      <c r="BD59" s="312" t="s">
        <v>312</v>
      </c>
      <c r="BE59" s="312" t="s">
        <v>262</v>
      </c>
      <c r="BF59" s="313">
        <v>8.2000000000000003E-2</v>
      </c>
      <c r="BG59" s="312" t="s">
        <v>271</v>
      </c>
      <c r="BH59" s="312" t="s">
        <v>285</v>
      </c>
      <c r="BI59" s="312" t="s">
        <v>261</v>
      </c>
      <c r="BJ59" s="312" t="s">
        <v>250</v>
      </c>
      <c r="BK59" s="312" t="s">
        <v>264</v>
      </c>
      <c r="BL59" s="312" t="s">
        <v>313</v>
      </c>
      <c r="BM59" s="312" t="s">
        <v>267</v>
      </c>
      <c r="BN59" s="313">
        <v>0.08</v>
      </c>
      <c r="BO59" s="312" t="s">
        <v>314</v>
      </c>
      <c r="BP59" s="313">
        <v>1.7000000000000001E-2</v>
      </c>
      <c r="BQ59" s="312" t="s">
        <v>285</v>
      </c>
      <c r="BR59" s="312" t="s">
        <v>272</v>
      </c>
      <c r="BS59" s="312" t="s">
        <v>264</v>
      </c>
      <c r="BT59" s="312" t="s">
        <v>315</v>
      </c>
      <c r="BU59" s="313">
        <v>5.2999999999999999E-2</v>
      </c>
      <c r="BV59" s="312" t="s">
        <v>287</v>
      </c>
      <c r="BW59" s="313">
        <v>5.0999999999999997E-2</v>
      </c>
      <c r="BX59" s="312" t="s">
        <v>293</v>
      </c>
      <c r="BY59" s="312" t="s">
        <v>316</v>
      </c>
      <c r="BZ59" s="312" t="s">
        <v>269</v>
      </c>
      <c r="CA59" s="142">
        <v>61.990948641858587</v>
      </c>
      <c r="CB59" s="203">
        <v>1.7609999999999999</v>
      </c>
      <c r="CC59" s="204">
        <v>7.7910000000000004</v>
      </c>
      <c r="CD59" s="153">
        <v>54.716999999999999</v>
      </c>
      <c r="CE59" s="203">
        <v>10.312037</v>
      </c>
      <c r="CF59" s="204">
        <v>78.266147000000004</v>
      </c>
      <c r="CG59" s="153">
        <v>11.421816</v>
      </c>
    </row>
    <row r="60" spans="1:85" s="142" customFormat="1" x14ac:dyDescent="0.25">
      <c r="A60" s="142" t="s">
        <v>120</v>
      </c>
      <c r="B60" s="142" t="s">
        <v>76</v>
      </c>
      <c r="C60" s="142" t="s">
        <v>159</v>
      </c>
      <c r="D60" s="142" t="s">
        <v>83</v>
      </c>
      <c r="E60" s="142">
        <v>2</v>
      </c>
      <c r="F60" s="161" t="s">
        <v>167</v>
      </c>
      <c r="G60" s="161" t="s">
        <v>168</v>
      </c>
      <c r="H60" s="162">
        <v>44403</v>
      </c>
      <c r="I60" s="163">
        <v>0.54027777777777775</v>
      </c>
      <c r="J60" s="164">
        <v>22.9</v>
      </c>
      <c r="K60" s="165">
        <v>7.0590000000000002</v>
      </c>
      <c r="L60" s="161">
        <v>5.9</v>
      </c>
      <c r="M60" s="161">
        <v>10.49</v>
      </c>
      <c r="N60" s="161">
        <v>-20.399999999999999</v>
      </c>
      <c r="O60" s="161">
        <v>16</v>
      </c>
      <c r="P60" s="166">
        <v>3860542372.8813562</v>
      </c>
      <c r="Q60" s="167">
        <v>0.6</v>
      </c>
      <c r="R60" s="168">
        <v>8.3333333333333329E-2</v>
      </c>
      <c r="S60" s="220">
        <v>8.3333333333333329E-2</v>
      </c>
      <c r="T60" s="169">
        <v>1.0555555555555558</v>
      </c>
      <c r="U60" s="170">
        <v>13.812558893590619</v>
      </c>
      <c r="V60" s="168">
        <v>63.221780862642632</v>
      </c>
      <c r="W60" s="171">
        <f t="shared" si="0"/>
        <v>17.930391741266234</v>
      </c>
      <c r="X60" s="165">
        <v>6352.25</v>
      </c>
      <c r="Y60" s="161">
        <v>17.54</v>
      </c>
      <c r="Z60" s="161">
        <v>0.08</v>
      </c>
      <c r="AA60" s="161">
        <v>6.53</v>
      </c>
      <c r="AB60" s="161">
        <v>33.299999999999997</v>
      </c>
      <c r="AC60" s="161">
        <v>14.85</v>
      </c>
      <c r="AD60" s="161">
        <v>28376.99</v>
      </c>
      <c r="AE60" s="161">
        <v>589.23</v>
      </c>
      <c r="AF60" s="161">
        <v>23.92</v>
      </c>
      <c r="AG60" s="161">
        <v>14.15</v>
      </c>
      <c r="AH60" s="161" t="s">
        <v>349</v>
      </c>
      <c r="AI60" s="161">
        <v>45.68</v>
      </c>
      <c r="AJ60" s="161">
        <v>97.99</v>
      </c>
      <c r="AK60" s="164">
        <v>0.06</v>
      </c>
      <c r="AL60" s="172">
        <v>0</v>
      </c>
      <c r="AM60" s="164">
        <v>0.13300000000000001</v>
      </c>
      <c r="AN60" s="164">
        <v>6.3220000000000001</v>
      </c>
      <c r="AO60" s="164">
        <v>463.084</v>
      </c>
      <c r="AP60" s="164">
        <v>146.416</v>
      </c>
      <c r="AQ60" s="173">
        <v>19.101763211255779</v>
      </c>
      <c r="AR60" s="312" t="s">
        <v>250</v>
      </c>
      <c r="AS60" s="312" t="s">
        <v>306</v>
      </c>
      <c r="AT60" s="312" t="s">
        <v>307</v>
      </c>
      <c r="AU60" s="312" t="s">
        <v>308</v>
      </c>
      <c r="AV60" s="312" t="s">
        <v>254</v>
      </c>
      <c r="AW60" s="312" t="s">
        <v>291</v>
      </c>
      <c r="AX60" s="312" t="s">
        <v>309</v>
      </c>
      <c r="AY60" s="312" t="s">
        <v>257</v>
      </c>
      <c r="AZ60" s="312" t="s">
        <v>310</v>
      </c>
      <c r="BA60" s="312" t="s">
        <v>259</v>
      </c>
      <c r="BB60" s="312" t="s">
        <v>311</v>
      </c>
      <c r="BC60" s="312" t="s">
        <v>257</v>
      </c>
      <c r="BD60" s="312" t="s">
        <v>312</v>
      </c>
      <c r="BE60" s="312" t="s">
        <v>262</v>
      </c>
      <c r="BF60" s="313">
        <v>8.2000000000000003E-2</v>
      </c>
      <c r="BG60" s="312" t="s">
        <v>271</v>
      </c>
      <c r="BH60" s="312" t="s">
        <v>285</v>
      </c>
      <c r="BI60" s="312" t="s">
        <v>261</v>
      </c>
      <c r="BJ60" s="312" t="s">
        <v>250</v>
      </c>
      <c r="BK60" s="312" t="s">
        <v>264</v>
      </c>
      <c r="BL60" s="312" t="s">
        <v>313</v>
      </c>
      <c r="BM60" s="312" t="s">
        <v>267</v>
      </c>
      <c r="BN60" s="313">
        <v>0.08</v>
      </c>
      <c r="BO60" s="312" t="s">
        <v>314</v>
      </c>
      <c r="BP60" s="313">
        <v>1.7000000000000001E-2</v>
      </c>
      <c r="BQ60" s="312" t="s">
        <v>285</v>
      </c>
      <c r="BR60" s="312" t="s">
        <v>272</v>
      </c>
      <c r="BS60" s="312" t="s">
        <v>264</v>
      </c>
      <c r="BT60" s="312" t="s">
        <v>315</v>
      </c>
      <c r="BU60" s="313">
        <v>5.2999999999999999E-2</v>
      </c>
      <c r="BV60" s="312" t="s">
        <v>287</v>
      </c>
      <c r="BW60" s="313">
        <v>5.0999999999999997E-2</v>
      </c>
      <c r="BX60" s="312" t="s">
        <v>293</v>
      </c>
      <c r="BY60" s="312" t="s">
        <v>316</v>
      </c>
      <c r="BZ60" s="312" t="s">
        <v>269</v>
      </c>
      <c r="CA60" s="142">
        <v>68.632759803145746</v>
      </c>
      <c r="CB60" s="174">
        <v>1.7949999999999999</v>
      </c>
      <c r="CC60" s="175">
        <v>7.11</v>
      </c>
      <c r="CD60" s="171">
        <v>27.463999999999999</v>
      </c>
      <c r="CE60" s="174">
        <v>10.000335</v>
      </c>
      <c r="CF60" s="175">
        <v>85.976727000000011</v>
      </c>
      <c r="CG60" s="171">
        <v>4.0229349999999995</v>
      </c>
    </row>
    <row r="61" spans="1:85" s="142" customFormat="1" ht="15.75" thickBot="1" x14ac:dyDescent="0.3">
      <c r="A61" s="142" t="s">
        <v>121</v>
      </c>
      <c r="B61" s="142" t="s">
        <v>76</v>
      </c>
      <c r="C61" s="142" t="s">
        <v>159</v>
      </c>
      <c r="D61" s="142" t="s">
        <v>83</v>
      </c>
      <c r="E61" s="142">
        <v>3</v>
      </c>
      <c r="F61" s="205" t="s">
        <v>167</v>
      </c>
      <c r="G61" s="205" t="s">
        <v>168</v>
      </c>
      <c r="H61" s="162">
        <v>44403</v>
      </c>
      <c r="I61" s="206">
        <v>0.5493055555555556</v>
      </c>
      <c r="J61" s="207">
        <v>23.9</v>
      </c>
      <c r="K61" s="208">
        <v>7.2370000000000001</v>
      </c>
      <c r="L61" s="205">
        <v>7.7</v>
      </c>
      <c r="M61" s="205">
        <v>12.95</v>
      </c>
      <c r="N61" s="205">
        <v>-30.4</v>
      </c>
      <c r="O61" s="205">
        <v>9.9</v>
      </c>
      <c r="P61" s="209">
        <v>3125918644.0677967</v>
      </c>
      <c r="Q61" s="210">
        <v>1.7333333333333334</v>
      </c>
      <c r="R61" s="211">
        <v>0.93333333333333335</v>
      </c>
      <c r="S61" s="212">
        <v>0.5</v>
      </c>
      <c r="T61" s="213">
        <v>3.5555555555555558</v>
      </c>
      <c r="U61" s="214">
        <v>3.9836710276307663</v>
      </c>
      <c r="V61" s="211">
        <v>24.903455591454609</v>
      </c>
      <c r="W61" s="186">
        <f t="shared" si="0"/>
        <v>13.790471721748895</v>
      </c>
      <c r="X61" s="208">
        <v>6490.72</v>
      </c>
      <c r="Y61" s="205">
        <v>17.09</v>
      </c>
      <c r="Z61" s="205">
        <v>0.1</v>
      </c>
      <c r="AA61" s="205">
        <v>6.39</v>
      </c>
      <c r="AB61" s="205">
        <v>30.31</v>
      </c>
      <c r="AC61" s="205">
        <v>15.18</v>
      </c>
      <c r="AD61" s="205">
        <v>27833.23</v>
      </c>
      <c r="AE61" s="205">
        <v>562.41999999999996</v>
      </c>
      <c r="AF61" s="205">
        <v>22.87</v>
      </c>
      <c r="AG61" s="205">
        <v>14.67</v>
      </c>
      <c r="AH61" s="205" t="s">
        <v>348</v>
      </c>
      <c r="AI61" s="205">
        <v>45.12</v>
      </c>
      <c r="AJ61" s="205">
        <v>98.33</v>
      </c>
      <c r="AK61" s="207">
        <v>0.06</v>
      </c>
      <c r="AL61" s="215">
        <v>0</v>
      </c>
      <c r="AM61" s="207">
        <v>0.25700000000000001</v>
      </c>
      <c r="AN61" s="207">
        <v>7.306</v>
      </c>
      <c r="AO61" s="207">
        <v>448.93</v>
      </c>
      <c r="AP61" s="207">
        <v>152.589</v>
      </c>
      <c r="AQ61" s="216">
        <v>38.428222492026343</v>
      </c>
      <c r="AR61" s="312" t="s">
        <v>250</v>
      </c>
      <c r="AS61" s="312" t="s">
        <v>306</v>
      </c>
      <c r="AT61" s="312" t="s">
        <v>307</v>
      </c>
      <c r="AU61" s="312" t="s">
        <v>308</v>
      </c>
      <c r="AV61" s="312" t="s">
        <v>254</v>
      </c>
      <c r="AW61" s="312" t="s">
        <v>291</v>
      </c>
      <c r="AX61" s="312" t="s">
        <v>309</v>
      </c>
      <c r="AY61" s="312" t="s">
        <v>257</v>
      </c>
      <c r="AZ61" s="312" t="s">
        <v>310</v>
      </c>
      <c r="BA61" s="312" t="s">
        <v>259</v>
      </c>
      <c r="BB61" s="312" t="s">
        <v>311</v>
      </c>
      <c r="BC61" s="312" t="s">
        <v>257</v>
      </c>
      <c r="BD61" s="312" t="s">
        <v>312</v>
      </c>
      <c r="BE61" s="312" t="s">
        <v>262</v>
      </c>
      <c r="BF61" s="313">
        <v>8.2000000000000003E-2</v>
      </c>
      <c r="BG61" s="312" t="s">
        <v>271</v>
      </c>
      <c r="BH61" s="312" t="s">
        <v>285</v>
      </c>
      <c r="BI61" s="312" t="s">
        <v>261</v>
      </c>
      <c r="BJ61" s="312" t="s">
        <v>250</v>
      </c>
      <c r="BK61" s="312" t="s">
        <v>264</v>
      </c>
      <c r="BL61" s="312" t="s">
        <v>313</v>
      </c>
      <c r="BM61" s="312" t="s">
        <v>267</v>
      </c>
      <c r="BN61" s="313">
        <v>0.08</v>
      </c>
      <c r="BO61" s="312" t="s">
        <v>314</v>
      </c>
      <c r="BP61" s="313">
        <v>1.7000000000000001E-2</v>
      </c>
      <c r="BQ61" s="312" t="s">
        <v>285</v>
      </c>
      <c r="BR61" s="312" t="s">
        <v>272</v>
      </c>
      <c r="BS61" s="312" t="s">
        <v>264</v>
      </c>
      <c r="BT61" s="312" t="s">
        <v>315</v>
      </c>
      <c r="BU61" s="313">
        <v>5.2999999999999999E-2</v>
      </c>
      <c r="BV61" s="312" t="s">
        <v>287</v>
      </c>
      <c r="BW61" s="313">
        <v>5.0999999999999997E-2</v>
      </c>
      <c r="BX61" s="312" t="s">
        <v>293</v>
      </c>
      <c r="BY61" s="312" t="s">
        <v>316</v>
      </c>
      <c r="BZ61" s="312" t="s">
        <v>269</v>
      </c>
      <c r="CA61" s="142">
        <v>60.582570077305775</v>
      </c>
      <c r="CB61" s="217">
        <v>1.768</v>
      </c>
      <c r="CC61" s="218">
        <v>8.6890000000000001</v>
      </c>
      <c r="CD61" s="186">
        <v>97.85</v>
      </c>
      <c r="CE61" s="217">
        <v>10.241710999999999</v>
      </c>
      <c r="CF61" s="218">
        <v>73.913160999999988</v>
      </c>
      <c r="CG61" s="186">
        <v>15.845130000000003</v>
      </c>
    </row>
    <row r="62" spans="1:85" s="142" customFormat="1" x14ac:dyDescent="0.25">
      <c r="A62" s="142" t="s">
        <v>122</v>
      </c>
      <c r="B62" s="142" t="s">
        <v>77</v>
      </c>
      <c r="C62" s="142" t="s">
        <v>159</v>
      </c>
      <c r="D62" s="142" t="s">
        <v>84</v>
      </c>
      <c r="E62" s="142">
        <v>1</v>
      </c>
      <c r="F62" s="143" t="s">
        <v>169</v>
      </c>
      <c r="G62" s="143" t="s">
        <v>170</v>
      </c>
      <c r="H62" s="144">
        <v>44404</v>
      </c>
      <c r="I62" s="145">
        <v>0.45833333333333331</v>
      </c>
      <c r="J62" s="146">
        <v>20</v>
      </c>
      <c r="K62" s="147">
        <v>7.484</v>
      </c>
      <c r="L62" s="143">
        <v>30.4</v>
      </c>
      <c r="M62" s="143">
        <v>50.6</v>
      </c>
      <c r="N62" s="143">
        <v>-43.6</v>
      </c>
      <c r="O62" s="143">
        <v>5.9</v>
      </c>
      <c r="P62" s="148">
        <v>7362182983.4254141</v>
      </c>
      <c r="Q62" s="149">
        <v>32.266666666666666</v>
      </c>
      <c r="R62" s="150">
        <v>6.4</v>
      </c>
      <c r="S62" s="219">
        <v>7.4666666666666668</v>
      </c>
      <c r="T62" s="151">
        <v>47.199999999999996</v>
      </c>
      <c r="U62" s="152">
        <v>4.2690073061865679</v>
      </c>
      <c r="V62" s="150">
        <v>13.534052379226052</v>
      </c>
      <c r="W62" s="153">
        <f t="shared" si="0"/>
        <v>23.979065293391592</v>
      </c>
      <c r="X62" s="147">
        <v>5664</v>
      </c>
      <c r="Y62" s="143">
        <v>10.39</v>
      </c>
      <c r="Z62" s="143">
        <v>0.09</v>
      </c>
      <c r="AA62" s="143">
        <v>5.95</v>
      </c>
      <c r="AB62" s="143">
        <v>16.87</v>
      </c>
      <c r="AC62" s="143">
        <v>9.8800000000000008</v>
      </c>
      <c r="AD62" s="143">
        <v>15327.97</v>
      </c>
      <c r="AE62" s="143">
        <v>234.17</v>
      </c>
      <c r="AF62" s="143">
        <v>11.68</v>
      </c>
      <c r="AG62" s="143">
        <v>14.59</v>
      </c>
      <c r="AH62" s="143" t="s">
        <v>348</v>
      </c>
      <c r="AI62" s="143">
        <v>23.99</v>
      </c>
      <c r="AJ62" s="143">
        <v>57.59</v>
      </c>
      <c r="AK62" s="146">
        <v>7.0000000000000007E-2</v>
      </c>
      <c r="AL62" s="156">
        <v>0</v>
      </c>
      <c r="AM62" s="146">
        <v>0.628</v>
      </c>
      <c r="AN62" s="146">
        <v>6.9160000000000004</v>
      </c>
      <c r="AO62" s="146">
        <v>187.41</v>
      </c>
      <c r="AP62" s="146">
        <v>91.688000000000002</v>
      </c>
      <c r="AQ62" s="157">
        <v>37.003887599313813</v>
      </c>
      <c r="AR62" s="312" t="s">
        <v>250</v>
      </c>
      <c r="AS62" s="312" t="s">
        <v>317</v>
      </c>
      <c r="AT62" s="312" t="s">
        <v>318</v>
      </c>
      <c r="AU62" s="312" t="s">
        <v>319</v>
      </c>
      <c r="AV62" s="312" t="s">
        <v>293</v>
      </c>
      <c r="AW62" s="312" t="s">
        <v>280</v>
      </c>
      <c r="AX62" s="312" t="s">
        <v>320</v>
      </c>
      <c r="AY62" s="312" t="s">
        <v>257</v>
      </c>
      <c r="AZ62" s="312" t="s">
        <v>321</v>
      </c>
      <c r="BA62" s="312" t="s">
        <v>322</v>
      </c>
      <c r="BB62" s="312" t="s">
        <v>323</v>
      </c>
      <c r="BC62" s="312" t="s">
        <v>261</v>
      </c>
      <c r="BD62" s="313">
        <v>6.3E-2</v>
      </c>
      <c r="BE62" s="312" t="s">
        <v>299</v>
      </c>
      <c r="BF62" s="313">
        <v>0.14699999999999999</v>
      </c>
      <c r="BG62" s="312" t="s">
        <v>264</v>
      </c>
      <c r="BH62" s="312" t="s">
        <v>314</v>
      </c>
      <c r="BI62" s="312" t="s">
        <v>261</v>
      </c>
      <c r="BJ62" s="312" t="s">
        <v>250</v>
      </c>
      <c r="BK62" s="312" t="s">
        <v>264</v>
      </c>
      <c r="BL62" s="312" t="s">
        <v>324</v>
      </c>
      <c r="BM62" s="312" t="s">
        <v>267</v>
      </c>
      <c r="BN62" s="313">
        <v>0.14299999999999999</v>
      </c>
      <c r="BO62" s="312" t="s">
        <v>303</v>
      </c>
      <c r="BP62" s="313">
        <v>4.2000000000000003E-2</v>
      </c>
      <c r="BQ62" s="313">
        <v>3.9E-2</v>
      </c>
      <c r="BR62" s="312" t="s">
        <v>269</v>
      </c>
      <c r="BS62" s="312" t="s">
        <v>250</v>
      </c>
      <c r="BT62" s="312" t="s">
        <v>325</v>
      </c>
      <c r="BU62" s="313">
        <v>9.1999999999999998E-2</v>
      </c>
      <c r="BV62" s="312" t="s">
        <v>272</v>
      </c>
      <c r="BW62" s="313">
        <v>0.155</v>
      </c>
      <c r="BX62" s="312" t="s">
        <v>274</v>
      </c>
      <c r="BY62" s="312" t="s">
        <v>326</v>
      </c>
      <c r="BZ62" s="312" t="s">
        <v>254</v>
      </c>
      <c r="CA62" s="142">
        <v>42.62787555598068</v>
      </c>
      <c r="CB62" s="158">
        <v>2.1640000000000001</v>
      </c>
      <c r="CC62" s="159">
        <v>12.18</v>
      </c>
      <c r="CD62" s="160">
        <v>130.864</v>
      </c>
      <c r="CE62" s="158">
        <v>7.3128170000000008</v>
      </c>
      <c r="CF62" s="159">
        <v>63.767314999999989</v>
      </c>
      <c r="CG62" s="160">
        <v>28.919865000000001</v>
      </c>
    </row>
    <row r="63" spans="1:85" s="142" customFormat="1" x14ac:dyDescent="0.25">
      <c r="A63" s="142" t="s">
        <v>123</v>
      </c>
      <c r="B63" s="142" t="s">
        <v>77</v>
      </c>
      <c r="C63" s="142" t="s">
        <v>159</v>
      </c>
      <c r="D63" s="142" t="s">
        <v>84</v>
      </c>
      <c r="E63" s="142">
        <v>2</v>
      </c>
      <c r="F63" s="161" t="s">
        <v>169</v>
      </c>
      <c r="G63" s="161" t="s">
        <v>170</v>
      </c>
      <c r="H63" s="162">
        <v>44404</v>
      </c>
      <c r="I63" s="163">
        <v>0.47152777777777777</v>
      </c>
      <c r="J63" s="164">
        <v>19.899999999999999</v>
      </c>
      <c r="K63" s="165">
        <v>7.4560000000000004</v>
      </c>
      <c r="L63" s="161">
        <v>33.299999999999997</v>
      </c>
      <c r="M63" s="161">
        <v>50.9</v>
      </c>
      <c r="N63" s="161">
        <v>-42.4</v>
      </c>
      <c r="O63" s="161">
        <v>6.7</v>
      </c>
      <c r="P63" s="166">
        <v>6996022541.4364634</v>
      </c>
      <c r="Q63" s="167">
        <v>65.86666666666666</v>
      </c>
      <c r="R63" s="168">
        <v>6.9333333333333336</v>
      </c>
      <c r="S63" s="220">
        <v>6.9333333333333336</v>
      </c>
      <c r="T63" s="169">
        <v>83.822222222222209</v>
      </c>
      <c r="U63" s="170">
        <v>6.5491200885819119</v>
      </c>
      <c r="V63" s="168">
        <v>14.019708125297495</v>
      </c>
      <c r="W63" s="171">
        <f t="shared" si="0"/>
        <v>31.840025209422016</v>
      </c>
      <c r="X63" s="165">
        <v>6040.28</v>
      </c>
      <c r="Y63" s="161">
        <v>11.75</v>
      </c>
      <c r="Z63" s="161">
        <v>0.09</v>
      </c>
      <c r="AA63" s="161">
        <v>6.77</v>
      </c>
      <c r="AB63" s="161">
        <v>20.09</v>
      </c>
      <c r="AC63" s="161">
        <v>13.74</v>
      </c>
      <c r="AD63" s="161">
        <v>18555.75</v>
      </c>
      <c r="AE63" s="161">
        <v>257.43</v>
      </c>
      <c r="AF63" s="161">
        <v>13.99</v>
      </c>
      <c r="AG63" s="161">
        <v>20.8</v>
      </c>
      <c r="AH63" s="161" t="s">
        <v>348</v>
      </c>
      <c r="AI63" s="161">
        <v>27.27</v>
      </c>
      <c r="AJ63" s="161">
        <v>68.540000000000006</v>
      </c>
      <c r="AK63" s="164">
        <v>7.0000000000000007E-2</v>
      </c>
      <c r="AL63" s="172">
        <v>0</v>
      </c>
      <c r="AM63" s="164">
        <v>0.68799999999999994</v>
      </c>
      <c r="AN63" s="164">
        <v>7.4279999999999999</v>
      </c>
      <c r="AO63" s="164">
        <v>153.95599999999999</v>
      </c>
      <c r="AP63" s="164">
        <v>55.085999999999999</v>
      </c>
      <c r="AQ63" s="173">
        <v>46.471841908275806</v>
      </c>
      <c r="AR63" s="312" t="s">
        <v>250</v>
      </c>
      <c r="AS63" s="312" t="s">
        <v>317</v>
      </c>
      <c r="AT63" s="312" t="s">
        <v>318</v>
      </c>
      <c r="AU63" s="312" t="s">
        <v>319</v>
      </c>
      <c r="AV63" s="312" t="s">
        <v>293</v>
      </c>
      <c r="AW63" s="312" t="s">
        <v>280</v>
      </c>
      <c r="AX63" s="312" t="s">
        <v>320</v>
      </c>
      <c r="AY63" s="312" t="s">
        <v>257</v>
      </c>
      <c r="AZ63" s="312" t="s">
        <v>321</v>
      </c>
      <c r="BA63" s="312" t="s">
        <v>322</v>
      </c>
      <c r="BB63" s="312" t="s">
        <v>323</v>
      </c>
      <c r="BC63" s="312" t="s">
        <v>261</v>
      </c>
      <c r="BD63" s="313">
        <v>6.3E-2</v>
      </c>
      <c r="BE63" s="312" t="s">
        <v>299</v>
      </c>
      <c r="BF63" s="313">
        <v>0.14699999999999999</v>
      </c>
      <c r="BG63" s="312" t="s">
        <v>264</v>
      </c>
      <c r="BH63" s="312" t="s">
        <v>314</v>
      </c>
      <c r="BI63" s="312" t="s">
        <v>261</v>
      </c>
      <c r="BJ63" s="312" t="s">
        <v>250</v>
      </c>
      <c r="BK63" s="312" t="s">
        <v>264</v>
      </c>
      <c r="BL63" s="312" t="s">
        <v>324</v>
      </c>
      <c r="BM63" s="312" t="s">
        <v>267</v>
      </c>
      <c r="BN63" s="313">
        <v>0.14299999999999999</v>
      </c>
      <c r="BO63" s="312" t="s">
        <v>303</v>
      </c>
      <c r="BP63" s="313">
        <v>4.2000000000000003E-2</v>
      </c>
      <c r="BQ63" s="313">
        <v>3.9E-2</v>
      </c>
      <c r="BR63" s="312" t="s">
        <v>269</v>
      </c>
      <c r="BS63" s="312" t="s">
        <v>250</v>
      </c>
      <c r="BT63" s="312" t="s">
        <v>325</v>
      </c>
      <c r="BU63" s="313">
        <v>9.1999999999999998E-2</v>
      </c>
      <c r="BV63" s="312" t="s">
        <v>272</v>
      </c>
      <c r="BW63" s="313">
        <v>0.155</v>
      </c>
      <c r="BX63" s="312" t="s">
        <v>274</v>
      </c>
      <c r="BY63" s="312" t="s">
        <v>326</v>
      </c>
      <c r="BZ63" s="312" t="s">
        <v>254</v>
      </c>
      <c r="CA63" s="142">
        <v>47.693480207164633</v>
      </c>
      <c r="CB63" s="174">
        <v>2.3580000000000001</v>
      </c>
      <c r="CC63" s="175">
        <v>12.082000000000001</v>
      </c>
      <c r="CD63" s="171">
        <v>121.77200000000001</v>
      </c>
      <c r="CE63" s="174">
        <v>6.3622190000000005</v>
      </c>
      <c r="CF63" s="175">
        <v>65.529057999999992</v>
      </c>
      <c r="CG63" s="171">
        <v>28.108723999999999</v>
      </c>
    </row>
    <row r="64" spans="1:85" s="142" customFormat="1" ht="15.75" thickBot="1" x14ac:dyDescent="0.3">
      <c r="A64" s="142" t="s">
        <v>124</v>
      </c>
      <c r="B64" s="142" t="s">
        <v>77</v>
      </c>
      <c r="C64" s="142" t="s">
        <v>159</v>
      </c>
      <c r="D64" s="142" t="s">
        <v>84</v>
      </c>
      <c r="E64" s="142">
        <v>3</v>
      </c>
      <c r="F64" s="176" t="s">
        <v>169</v>
      </c>
      <c r="G64" s="176" t="s">
        <v>170</v>
      </c>
      <c r="H64" s="177">
        <v>44404</v>
      </c>
      <c r="I64" s="178">
        <v>0.48055555555555557</v>
      </c>
      <c r="J64" s="179">
        <v>20.100000000000001</v>
      </c>
      <c r="K64" s="180">
        <v>7.1959999999999997</v>
      </c>
      <c r="L64" s="176">
        <v>33.9</v>
      </c>
      <c r="M64" s="176">
        <v>51.9</v>
      </c>
      <c r="N64" s="176">
        <v>-27.9</v>
      </c>
      <c r="O64" s="176">
        <v>6.5</v>
      </c>
      <c r="P64" s="181">
        <v>8351602209.9447508</v>
      </c>
      <c r="Q64" s="182">
        <v>189.06666666666666</v>
      </c>
      <c r="R64" s="183">
        <v>11.2</v>
      </c>
      <c r="S64" s="221">
        <v>5.333333333333333</v>
      </c>
      <c r="T64" s="184">
        <v>206.13333333333335</v>
      </c>
      <c r="U64" s="185">
        <v>9.419516985754564</v>
      </c>
      <c r="V64" s="183">
        <v>16.91865255526195</v>
      </c>
      <c r="W64" s="186">
        <f t="shared" si="0"/>
        <v>35.763749531209911</v>
      </c>
      <c r="X64" s="180">
        <v>6035.17</v>
      </c>
      <c r="Y64" s="176">
        <v>13.12</v>
      </c>
      <c r="Z64" s="176">
        <v>0.09</v>
      </c>
      <c r="AA64" s="176">
        <v>7.08</v>
      </c>
      <c r="AB64" s="176">
        <v>22.09</v>
      </c>
      <c r="AC64" s="176">
        <v>11.61</v>
      </c>
      <c r="AD64" s="176">
        <v>20304.080000000002</v>
      </c>
      <c r="AE64" s="176">
        <v>290.45999999999998</v>
      </c>
      <c r="AF64" s="176">
        <v>15.41</v>
      </c>
      <c r="AG64" s="176">
        <v>19.649999999999999</v>
      </c>
      <c r="AH64" s="176" t="s">
        <v>351</v>
      </c>
      <c r="AI64" s="176">
        <v>29.45</v>
      </c>
      <c r="AJ64" s="176">
        <v>73.22</v>
      </c>
      <c r="AK64" s="179">
        <v>0.08</v>
      </c>
      <c r="AL64" s="187">
        <v>0</v>
      </c>
      <c r="AM64" s="179">
        <v>0.64400000000000002</v>
      </c>
      <c r="AN64" s="179">
        <v>6.7359999999999998</v>
      </c>
      <c r="AO64" s="179">
        <v>197.614</v>
      </c>
      <c r="AP64" s="179">
        <v>168.83600000000001</v>
      </c>
      <c r="AQ64" s="188">
        <v>60.303725696187215</v>
      </c>
      <c r="AR64" s="312" t="s">
        <v>250</v>
      </c>
      <c r="AS64" s="312" t="s">
        <v>317</v>
      </c>
      <c r="AT64" s="312" t="s">
        <v>318</v>
      </c>
      <c r="AU64" s="312" t="s">
        <v>319</v>
      </c>
      <c r="AV64" s="312" t="s">
        <v>293</v>
      </c>
      <c r="AW64" s="312" t="s">
        <v>280</v>
      </c>
      <c r="AX64" s="312" t="s">
        <v>320</v>
      </c>
      <c r="AY64" s="312" t="s">
        <v>257</v>
      </c>
      <c r="AZ64" s="312" t="s">
        <v>321</v>
      </c>
      <c r="BA64" s="312" t="s">
        <v>322</v>
      </c>
      <c r="BB64" s="312" t="s">
        <v>323</v>
      </c>
      <c r="BC64" s="312" t="s">
        <v>261</v>
      </c>
      <c r="BD64" s="313">
        <v>6.3E-2</v>
      </c>
      <c r="BE64" s="312" t="s">
        <v>299</v>
      </c>
      <c r="BF64" s="313">
        <v>0.14699999999999999</v>
      </c>
      <c r="BG64" s="312" t="s">
        <v>264</v>
      </c>
      <c r="BH64" s="312" t="s">
        <v>314</v>
      </c>
      <c r="BI64" s="312" t="s">
        <v>261</v>
      </c>
      <c r="BJ64" s="312" t="s">
        <v>250</v>
      </c>
      <c r="BK64" s="312" t="s">
        <v>264</v>
      </c>
      <c r="BL64" s="312" t="s">
        <v>324</v>
      </c>
      <c r="BM64" s="312" t="s">
        <v>267</v>
      </c>
      <c r="BN64" s="313">
        <v>0.14299999999999999</v>
      </c>
      <c r="BO64" s="312" t="s">
        <v>303</v>
      </c>
      <c r="BP64" s="313">
        <v>4.2000000000000003E-2</v>
      </c>
      <c r="BQ64" s="313">
        <v>3.9E-2</v>
      </c>
      <c r="BR64" s="312" t="s">
        <v>269</v>
      </c>
      <c r="BS64" s="312" t="s">
        <v>250</v>
      </c>
      <c r="BT64" s="312" t="s">
        <v>325</v>
      </c>
      <c r="BU64" s="313">
        <v>9.1999999999999998E-2</v>
      </c>
      <c r="BV64" s="312" t="s">
        <v>272</v>
      </c>
      <c r="BW64" s="313">
        <v>0.155</v>
      </c>
      <c r="BX64" s="312" t="s">
        <v>274</v>
      </c>
      <c r="BY64" s="312" t="s">
        <v>326</v>
      </c>
      <c r="BZ64" s="312" t="s">
        <v>254</v>
      </c>
      <c r="CA64" s="142">
        <v>53.959942360915214</v>
      </c>
      <c r="CB64" s="189">
        <v>2.11</v>
      </c>
      <c r="CC64" s="190">
        <v>8.8520000000000003</v>
      </c>
      <c r="CD64" s="191">
        <v>80.138000000000005</v>
      </c>
      <c r="CE64" s="189">
        <v>7.5851939999999995</v>
      </c>
      <c r="CF64" s="190">
        <v>75.139280000000014</v>
      </c>
      <c r="CG64" s="191">
        <v>17.275525999999999</v>
      </c>
    </row>
    <row r="65" spans="1:85" s="142" customFormat="1" x14ac:dyDescent="0.25">
      <c r="A65" s="142" t="s">
        <v>125</v>
      </c>
      <c r="B65" s="142" t="s">
        <v>78</v>
      </c>
      <c r="C65" s="142" t="s">
        <v>159</v>
      </c>
      <c r="D65" s="142" t="s">
        <v>84</v>
      </c>
      <c r="E65" s="142">
        <v>1</v>
      </c>
      <c r="F65" s="192" t="s">
        <v>171</v>
      </c>
      <c r="G65" s="192" t="s">
        <v>172</v>
      </c>
      <c r="H65" s="162">
        <v>44405</v>
      </c>
      <c r="I65" s="193">
        <v>0.53125</v>
      </c>
      <c r="J65" s="194">
        <v>22.9</v>
      </c>
      <c r="K65" s="195">
        <v>7.2880000000000003</v>
      </c>
      <c r="L65" s="192">
        <v>25.9</v>
      </c>
      <c r="M65" s="192">
        <v>40.799999999999997</v>
      </c>
      <c r="N65" s="192">
        <v>-44.7</v>
      </c>
      <c r="O65" s="192">
        <v>9.5</v>
      </c>
      <c r="P65" s="196">
        <v>2059342372.881356</v>
      </c>
      <c r="Q65" s="197">
        <v>58.266666666666666</v>
      </c>
      <c r="R65" s="198">
        <v>6.2666666666666666</v>
      </c>
      <c r="S65" s="222">
        <v>0.13333333333333333</v>
      </c>
      <c r="T65" s="199">
        <v>65.600000000000023</v>
      </c>
      <c r="U65" s="200">
        <v>5.9134467098475891</v>
      </c>
      <c r="V65" s="198">
        <v>12.614262140441905</v>
      </c>
      <c r="W65" s="153">
        <f t="shared" si="0"/>
        <v>31.916772643775609</v>
      </c>
      <c r="X65" s="195">
        <v>6802.79</v>
      </c>
      <c r="Y65" s="192">
        <v>21.29</v>
      </c>
      <c r="Z65" s="192">
        <v>0.27</v>
      </c>
      <c r="AA65" s="192">
        <v>10.69</v>
      </c>
      <c r="AB65" s="192">
        <v>31.53</v>
      </c>
      <c r="AC65" s="192">
        <v>18.57</v>
      </c>
      <c r="AD65" s="192">
        <v>30447.85</v>
      </c>
      <c r="AE65" s="192">
        <v>419.68</v>
      </c>
      <c r="AF65" s="192">
        <v>21.64</v>
      </c>
      <c r="AG65" s="192">
        <v>21.94</v>
      </c>
      <c r="AH65" s="192" t="s">
        <v>350</v>
      </c>
      <c r="AI65" s="192">
        <v>40.64</v>
      </c>
      <c r="AJ65" s="192">
        <v>124.78</v>
      </c>
      <c r="AK65" s="194">
        <v>0.13</v>
      </c>
      <c r="AL65" s="201">
        <v>0</v>
      </c>
      <c r="AM65" s="194">
        <v>0.99199999999999999</v>
      </c>
      <c r="AN65" s="194">
        <v>9.1920000000000002</v>
      </c>
      <c r="AO65" s="194">
        <v>207.53</v>
      </c>
      <c r="AP65" s="194">
        <v>87.463999999999999</v>
      </c>
      <c r="AQ65" s="202">
        <v>39.346843321608077</v>
      </c>
      <c r="AR65" s="312" t="s">
        <v>287</v>
      </c>
      <c r="AS65" s="312" t="s">
        <v>327</v>
      </c>
      <c r="AT65" s="312" t="s">
        <v>291</v>
      </c>
      <c r="AU65" s="312" t="s">
        <v>328</v>
      </c>
      <c r="AV65" s="312" t="s">
        <v>287</v>
      </c>
      <c r="AW65" s="312" t="s">
        <v>294</v>
      </c>
      <c r="AX65" s="312" t="s">
        <v>329</v>
      </c>
      <c r="AY65" s="312" t="s">
        <v>267</v>
      </c>
      <c r="AZ65" s="312" t="s">
        <v>330</v>
      </c>
      <c r="BA65" s="312" t="s">
        <v>285</v>
      </c>
      <c r="BB65" s="312" t="s">
        <v>331</v>
      </c>
      <c r="BC65" s="312" t="s">
        <v>261</v>
      </c>
      <c r="BD65" s="313">
        <v>3.5999999999999997E-2</v>
      </c>
      <c r="BE65" s="312" t="s">
        <v>299</v>
      </c>
      <c r="BF65" s="313">
        <v>7.3999999999999996E-2</v>
      </c>
      <c r="BG65" s="312" t="s">
        <v>264</v>
      </c>
      <c r="BH65" s="312" t="s">
        <v>265</v>
      </c>
      <c r="BI65" s="313">
        <v>5.0000000000000001E-3</v>
      </c>
      <c r="BJ65" s="312" t="s">
        <v>264</v>
      </c>
      <c r="BK65" s="312" t="s">
        <v>264</v>
      </c>
      <c r="BL65" s="312" t="s">
        <v>332</v>
      </c>
      <c r="BM65" s="312" t="s">
        <v>264</v>
      </c>
      <c r="BN65" s="313">
        <v>0.106</v>
      </c>
      <c r="BO65" s="312" t="s">
        <v>274</v>
      </c>
      <c r="BP65" s="313">
        <v>3.9E-2</v>
      </c>
      <c r="BQ65" s="312" t="s">
        <v>285</v>
      </c>
      <c r="BR65" s="312" t="s">
        <v>293</v>
      </c>
      <c r="BS65" s="312" t="s">
        <v>264</v>
      </c>
      <c r="BT65" s="312" t="s">
        <v>269</v>
      </c>
      <c r="BU65" s="313">
        <v>0.11</v>
      </c>
      <c r="BV65" s="312" t="s">
        <v>287</v>
      </c>
      <c r="BW65" s="313">
        <v>9.8000000000000004E-2</v>
      </c>
      <c r="BX65" s="312" t="s">
        <v>254</v>
      </c>
      <c r="BY65" s="312" t="s">
        <v>333</v>
      </c>
      <c r="BZ65" s="312" t="s">
        <v>334</v>
      </c>
      <c r="CA65" s="142">
        <v>54.535701421749664</v>
      </c>
      <c r="CB65" s="203">
        <v>2.1389999999999998</v>
      </c>
      <c r="CC65" s="204">
        <v>8.5670000000000002</v>
      </c>
      <c r="CD65" s="153">
        <v>70.882999999999996</v>
      </c>
      <c r="CE65" s="203">
        <v>7.4216169999999995</v>
      </c>
      <c r="CF65" s="204">
        <v>78.182019000000011</v>
      </c>
      <c r="CG65" s="153">
        <v>14.396365999999997</v>
      </c>
    </row>
    <row r="66" spans="1:85" s="142" customFormat="1" x14ac:dyDescent="0.25">
      <c r="A66" s="142" t="s">
        <v>126</v>
      </c>
      <c r="B66" s="142" t="s">
        <v>78</v>
      </c>
      <c r="C66" s="142" t="s">
        <v>159</v>
      </c>
      <c r="D66" s="142" t="s">
        <v>84</v>
      </c>
      <c r="E66" s="142">
        <v>2</v>
      </c>
      <c r="F66" s="161" t="s">
        <v>171</v>
      </c>
      <c r="G66" s="161" t="s">
        <v>172</v>
      </c>
      <c r="H66" s="162">
        <v>44405</v>
      </c>
      <c r="I66" s="163">
        <v>0.53263888888888888</v>
      </c>
      <c r="J66" s="164">
        <v>22.7</v>
      </c>
      <c r="K66" s="165">
        <v>7.1079999999999997</v>
      </c>
      <c r="L66" s="161">
        <v>28.3</v>
      </c>
      <c r="M66" s="161">
        <v>44.3</v>
      </c>
      <c r="N66" s="161">
        <v>-23.2</v>
      </c>
      <c r="O66" s="161">
        <v>19</v>
      </c>
      <c r="P66" s="166">
        <v>4886928813.5593224</v>
      </c>
      <c r="Q66" s="167">
        <v>113.06666666666666</v>
      </c>
      <c r="R66" s="168">
        <v>2.6666666666666665</v>
      </c>
      <c r="S66" s="220">
        <v>0.93333333333333335</v>
      </c>
      <c r="T66" s="169">
        <v>117.73333333333335</v>
      </c>
      <c r="U66" s="170">
        <v>18.115020488907732</v>
      </c>
      <c r="V66" s="168">
        <v>30.881316507429251</v>
      </c>
      <c r="W66" s="171">
        <f t="shared" si="0"/>
        <v>36.972193432056017</v>
      </c>
      <c r="X66" s="165">
        <v>6383.8</v>
      </c>
      <c r="Y66" s="161">
        <v>20.13</v>
      </c>
      <c r="Z66" s="161">
        <v>0.19</v>
      </c>
      <c r="AA66" s="161">
        <v>9.68</v>
      </c>
      <c r="AB66" s="161">
        <v>29.38</v>
      </c>
      <c r="AC66" s="161">
        <v>16.04</v>
      </c>
      <c r="AD66" s="161">
        <v>25665.61</v>
      </c>
      <c r="AE66" s="161">
        <v>493.96</v>
      </c>
      <c r="AF66" s="161">
        <v>19.940000000000001</v>
      </c>
      <c r="AG66" s="161">
        <v>19.920000000000002</v>
      </c>
      <c r="AH66" s="161" t="s">
        <v>351</v>
      </c>
      <c r="AI66" s="161">
        <v>38.950000000000003</v>
      </c>
      <c r="AJ66" s="161">
        <v>109.38</v>
      </c>
      <c r="AK66" s="164">
        <v>0.12</v>
      </c>
      <c r="AL66" s="172">
        <v>0</v>
      </c>
      <c r="AM66" s="164">
        <v>1.1559999999999999</v>
      </c>
      <c r="AN66" s="164">
        <v>3.1440000000000001</v>
      </c>
      <c r="AO66" s="164">
        <v>189.096</v>
      </c>
      <c r="AP66" s="164">
        <v>60.2</v>
      </c>
      <c r="AQ66" s="173">
        <v>74.656233325341404</v>
      </c>
      <c r="AR66" s="312" t="s">
        <v>287</v>
      </c>
      <c r="AS66" s="312" t="s">
        <v>327</v>
      </c>
      <c r="AT66" s="312" t="s">
        <v>291</v>
      </c>
      <c r="AU66" s="312" t="s">
        <v>328</v>
      </c>
      <c r="AV66" s="312" t="s">
        <v>287</v>
      </c>
      <c r="AW66" s="312" t="s">
        <v>294</v>
      </c>
      <c r="AX66" s="312" t="s">
        <v>329</v>
      </c>
      <c r="AY66" s="312" t="s">
        <v>267</v>
      </c>
      <c r="AZ66" s="312" t="s">
        <v>330</v>
      </c>
      <c r="BA66" s="312" t="s">
        <v>285</v>
      </c>
      <c r="BB66" s="312" t="s">
        <v>331</v>
      </c>
      <c r="BC66" s="312" t="s">
        <v>261</v>
      </c>
      <c r="BD66" s="313">
        <v>3.5999999999999997E-2</v>
      </c>
      <c r="BE66" s="312" t="s">
        <v>299</v>
      </c>
      <c r="BF66" s="313">
        <v>7.3999999999999996E-2</v>
      </c>
      <c r="BG66" s="312" t="s">
        <v>264</v>
      </c>
      <c r="BH66" s="312" t="s">
        <v>265</v>
      </c>
      <c r="BI66" s="313">
        <v>5.0000000000000001E-3</v>
      </c>
      <c r="BJ66" s="312" t="s">
        <v>264</v>
      </c>
      <c r="BK66" s="312" t="s">
        <v>264</v>
      </c>
      <c r="BL66" s="312" t="s">
        <v>332</v>
      </c>
      <c r="BM66" s="312" t="s">
        <v>264</v>
      </c>
      <c r="BN66" s="313">
        <v>0.106</v>
      </c>
      <c r="BO66" s="312" t="s">
        <v>274</v>
      </c>
      <c r="BP66" s="313">
        <v>3.9E-2</v>
      </c>
      <c r="BQ66" s="312" t="s">
        <v>285</v>
      </c>
      <c r="BR66" s="312" t="s">
        <v>293</v>
      </c>
      <c r="BS66" s="312" t="s">
        <v>264</v>
      </c>
      <c r="BT66" s="312" t="s">
        <v>269</v>
      </c>
      <c r="BU66" s="313">
        <v>0.11</v>
      </c>
      <c r="BV66" s="312" t="s">
        <v>287</v>
      </c>
      <c r="BW66" s="313">
        <v>9.8000000000000004E-2</v>
      </c>
      <c r="BX66" s="312" t="s">
        <v>254</v>
      </c>
      <c r="BY66" s="312" t="s">
        <v>333</v>
      </c>
      <c r="BZ66" s="312" t="s">
        <v>334</v>
      </c>
      <c r="CA66" s="142">
        <v>53.378384659001121</v>
      </c>
      <c r="CB66" s="174">
        <v>1.8440000000000001</v>
      </c>
      <c r="CC66" s="175">
        <v>7.8620000000000001</v>
      </c>
      <c r="CD66" s="171">
        <v>305.09699999999998</v>
      </c>
      <c r="CE66" s="174">
        <v>9.557938</v>
      </c>
      <c r="CF66" s="175">
        <v>70.537252000000009</v>
      </c>
      <c r="CG66" s="171">
        <v>19.904807999999996</v>
      </c>
    </row>
    <row r="67" spans="1:85" s="142" customFormat="1" ht="15.75" thickBot="1" x14ac:dyDescent="0.3">
      <c r="A67" s="142" t="s">
        <v>127</v>
      </c>
      <c r="B67" s="142" t="s">
        <v>78</v>
      </c>
      <c r="C67" s="142" t="s">
        <v>159</v>
      </c>
      <c r="D67" s="142" t="s">
        <v>84</v>
      </c>
      <c r="E67" s="142">
        <v>3</v>
      </c>
      <c r="F67" s="205" t="s">
        <v>171</v>
      </c>
      <c r="G67" s="205" t="s">
        <v>172</v>
      </c>
      <c r="H67" s="162">
        <v>44405</v>
      </c>
      <c r="I67" s="206">
        <v>0.53472222222222221</v>
      </c>
      <c r="J67" s="207">
        <v>23.5</v>
      </c>
      <c r="K67" s="208">
        <v>7.1589999999999998</v>
      </c>
      <c r="L67" s="205">
        <v>30.7</v>
      </c>
      <c r="M67" s="205">
        <v>47.3</v>
      </c>
      <c r="N67" s="205">
        <v>-26.9</v>
      </c>
      <c r="O67" s="205">
        <v>15</v>
      </c>
      <c r="P67" s="209">
        <v>4271715254.2372885</v>
      </c>
      <c r="Q67" s="208">
        <v>96</v>
      </c>
      <c r="R67" s="211">
        <v>3.4666666666666668</v>
      </c>
      <c r="S67" s="223">
        <v>2</v>
      </c>
      <c r="T67" s="213">
        <v>104.5777777777778</v>
      </c>
      <c r="U67" s="214">
        <v>11.771466252178417</v>
      </c>
      <c r="V67" s="211">
        <v>25.40948612877397</v>
      </c>
      <c r="W67" s="186">
        <f t="shared" si="0"/>
        <v>31.659937409803625</v>
      </c>
      <c r="X67" s="208">
        <v>6473.28</v>
      </c>
      <c r="Y67" s="205">
        <v>18.760000000000002</v>
      </c>
      <c r="Z67" s="205">
        <v>0.19</v>
      </c>
      <c r="AA67" s="205">
        <v>9.82</v>
      </c>
      <c r="AB67" s="205">
        <v>29.56</v>
      </c>
      <c r="AC67" s="205">
        <v>17.649999999999999</v>
      </c>
      <c r="AD67" s="205">
        <v>25365.67</v>
      </c>
      <c r="AE67" s="205">
        <v>573.09</v>
      </c>
      <c r="AF67" s="205">
        <v>20.010000000000002</v>
      </c>
      <c r="AG67" s="205">
        <v>20.29</v>
      </c>
      <c r="AH67" s="205" t="s">
        <v>349</v>
      </c>
      <c r="AI67" s="205">
        <v>39.69</v>
      </c>
      <c r="AJ67" s="205">
        <v>111.57</v>
      </c>
      <c r="AK67" s="207">
        <v>0.12</v>
      </c>
      <c r="AL67" s="215">
        <v>0.65999999999999992</v>
      </c>
      <c r="AM67" s="207">
        <v>0.55600000000000005</v>
      </c>
      <c r="AN67" s="207">
        <v>1.5880000000000001</v>
      </c>
      <c r="AO67" s="207">
        <v>157.196</v>
      </c>
      <c r="AP67" s="207">
        <v>23.391999999999999</v>
      </c>
      <c r="AQ67" s="216">
        <v>47.214436484809774</v>
      </c>
      <c r="AR67" s="312" t="s">
        <v>287</v>
      </c>
      <c r="AS67" s="312" t="s">
        <v>327</v>
      </c>
      <c r="AT67" s="312" t="s">
        <v>291</v>
      </c>
      <c r="AU67" s="312" t="s">
        <v>328</v>
      </c>
      <c r="AV67" s="312" t="s">
        <v>287</v>
      </c>
      <c r="AW67" s="312" t="s">
        <v>294</v>
      </c>
      <c r="AX67" s="312" t="s">
        <v>329</v>
      </c>
      <c r="AY67" s="312" t="s">
        <v>267</v>
      </c>
      <c r="AZ67" s="312" t="s">
        <v>330</v>
      </c>
      <c r="BA67" s="312" t="s">
        <v>285</v>
      </c>
      <c r="BB67" s="312" t="s">
        <v>331</v>
      </c>
      <c r="BC67" s="312" t="s">
        <v>261</v>
      </c>
      <c r="BD67" s="313">
        <v>3.5999999999999997E-2</v>
      </c>
      <c r="BE67" s="312" t="s">
        <v>299</v>
      </c>
      <c r="BF67" s="313">
        <v>7.3999999999999996E-2</v>
      </c>
      <c r="BG67" s="312" t="s">
        <v>264</v>
      </c>
      <c r="BH67" s="312" t="s">
        <v>265</v>
      </c>
      <c r="BI67" s="313">
        <v>5.0000000000000001E-3</v>
      </c>
      <c r="BJ67" s="312" t="s">
        <v>264</v>
      </c>
      <c r="BK67" s="312" t="s">
        <v>264</v>
      </c>
      <c r="BL67" s="312" t="s">
        <v>332</v>
      </c>
      <c r="BM67" s="312" t="s">
        <v>264</v>
      </c>
      <c r="BN67" s="313">
        <v>0.106</v>
      </c>
      <c r="BO67" s="312" t="s">
        <v>274</v>
      </c>
      <c r="BP67" s="313">
        <v>3.9E-2</v>
      </c>
      <c r="BQ67" s="312" t="s">
        <v>285</v>
      </c>
      <c r="BR67" s="312" t="s">
        <v>293</v>
      </c>
      <c r="BS67" s="312" t="s">
        <v>264</v>
      </c>
      <c r="BT67" s="312" t="s">
        <v>269</v>
      </c>
      <c r="BU67" s="313">
        <v>0.11</v>
      </c>
      <c r="BV67" s="312" t="s">
        <v>287</v>
      </c>
      <c r="BW67" s="313">
        <v>9.8000000000000004E-2</v>
      </c>
      <c r="BX67" s="312" t="s">
        <v>254</v>
      </c>
      <c r="BY67" s="312" t="s">
        <v>333</v>
      </c>
      <c r="BZ67" s="312" t="s">
        <v>334</v>
      </c>
      <c r="CA67" s="142">
        <v>56.293186252546271</v>
      </c>
      <c r="CB67" s="217">
        <v>2.0110000000000001</v>
      </c>
      <c r="CC67" s="218">
        <v>7.7889999999999997</v>
      </c>
      <c r="CD67" s="186">
        <v>49.850999999999999</v>
      </c>
      <c r="CE67" s="217">
        <v>8.223179</v>
      </c>
      <c r="CF67" s="218">
        <v>80.924443000000011</v>
      </c>
      <c r="CG67" s="186">
        <v>10.852378999999997</v>
      </c>
    </row>
    <row r="68" spans="1:85" s="142" customFormat="1" x14ac:dyDescent="0.25">
      <c r="A68" s="142" t="s">
        <v>128</v>
      </c>
      <c r="B68" s="142" t="s">
        <v>79</v>
      </c>
      <c r="C68" s="142" t="s">
        <v>159</v>
      </c>
      <c r="D68" s="142" t="s">
        <v>83</v>
      </c>
      <c r="E68" s="142">
        <v>1</v>
      </c>
      <c r="F68" s="143" t="s">
        <v>173</v>
      </c>
      <c r="G68" s="143" t="s">
        <v>174</v>
      </c>
      <c r="H68" s="144">
        <v>44413</v>
      </c>
      <c r="I68" s="147" t="s">
        <v>177</v>
      </c>
      <c r="J68" s="146">
        <v>21.4</v>
      </c>
      <c r="K68" s="147">
        <v>7.68</v>
      </c>
      <c r="L68" s="143">
        <v>4.7</v>
      </c>
      <c r="M68" s="143">
        <v>8.57</v>
      </c>
      <c r="N68" s="143">
        <v>-34.4</v>
      </c>
      <c r="O68" s="143">
        <v>20</v>
      </c>
      <c r="P68" s="148">
        <v>539415248.61878443</v>
      </c>
      <c r="Q68" s="149">
        <v>3.1333333333333333</v>
      </c>
      <c r="R68" s="150">
        <v>4.5999999999999996</v>
      </c>
      <c r="S68" s="219">
        <v>0.66666666666666663</v>
      </c>
      <c r="T68" s="151">
        <v>9.5111111111111093</v>
      </c>
      <c r="U68" s="152">
        <v>0.94902023685406378</v>
      </c>
      <c r="V68" s="150">
        <v>4.1376048497710221</v>
      </c>
      <c r="W68" s="153">
        <f t="shared" si="0"/>
        <v>18.657168961586027</v>
      </c>
      <c r="X68" s="147">
        <v>7144.78</v>
      </c>
      <c r="Y68" s="143">
        <v>40.01</v>
      </c>
      <c r="Z68" s="143">
        <v>0.26</v>
      </c>
      <c r="AA68" s="143">
        <v>17.920000000000002</v>
      </c>
      <c r="AB68" s="143">
        <v>33.15</v>
      </c>
      <c r="AC68" s="143">
        <v>22.85</v>
      </c>
      <c r="AD68" s="143">
        <v>42645.15</v>
      </c>
      <c r="AE68" s="143">
        <v>418.85</v>
      </c>
      <c r="AF68" s="143">
        <v>35.159999999999997</v>
      </c>
      <c r="AG68" s="143">
        <v>19.77</v>
      </c>
      <c r="AH68" s="143" t="s">
        <v>348</v>
      </c>
      <c r="AI68" s="143">
        <v>36.92</v>
      </c>
      <c r="AJ68" s="143">
        <v>132.93</v>
      </c>
      <c r="AK68" s="146">
        <v>0.16</v>
      </c>
      <c r="AL68" s="156">
        <v>0</v>
      </c>
      <c r="AM68" s="146">
        <v>0.88</v>
      </c>
      <c r="AN68" s="146">
        <v>3.6520000000000001</v>
      </c>
      <c r="AO68" s="146">
        <v>160.352</v>
      </c>
      <c r="AP68" s="146">
        <v>76.164000000000001</v>
      </c>
      <c r="AQ68" s="157">
        <v>43.589971565632624</v>
      </c>
      <c r="AR68" s="312" t="s">
        <v>276</v>
      </c>
      <c r="AS68" s="312" t="s">
        <v>335</v>
      </c>
      <c r="AT68" s="312" t="s">
        <v>252</v>
      </c>
      <c r="AU68" s="312" t="s">
        <v>336</v>
      </c>
      <c r="AV68" s="312" t="s">
        <v>276</v>
      </c>
      <c r="AW68" s="312" t="s">
        <v>337</v>
      </c>
      <c r="AX68" s="312" t="s">
        <v>338</v>
      </c>
      <c r="AY68" s="312" t="s">
        <v>267</v>
      </c>
      <c r="AZ68" s="312" t="s">
        <v>339</v>
      </c>
      <c r="BA68" s="312" t="s">
        <v>284</v>
      </c>
      <c r="BB68" s="312" t="s">
        <v>340</v>
      </c>
      <c r="BC68" s="312" t="s">
        <v>261</v>
      </c>
      <c r="BD68" s="313">
        <v>4.5999999999999999E-2</v>
      </c>
      <c r="BE68" s="312" t="s">
        <v>262</v>
      </c>
      <c r="BF68" s="313">
        <v>8.5999999999999993E-2</v>
      </c>
      <c r="BG68" s="312" t="s">
        <v>271</v>
      </c>
      <c r="BH68" s="312" t="s">
        <v>285</v>
      </c>
      <c r="BI68" s="313">
        <v>4.0000000000000001E-3</v>
      </c>
      <c r="BJ68" s="312" t="s">
        <v>264</v>
      </c>
      <c r="BK68" s="312" t="s">
        <v>271</v>
      </c>
      <c r="BL68" s="312" t="s">
        <v>341</v>
      </c>
      <c r="BM68" s="312" t="s">
        <v>264</v>
      </c>
      <c r="BN68" s="313">
        <v>0.14099999999999999</v>
      </c>
      <c r="BO68" s="312" t="s">
        <v>293</v>
      </c>
      <c r="BP68" s="313">
        <v>2.8000000000000001E-2</v>
      </c>
      <c r="BQ68" s="312" t="s">
        <v>273</v>
      </c>
      <c r="BR68" s="312" t="s">
        <v>254</v>
      </c>
      <c r="BS68" s="312" t="s">
        <v>271</v>
      </c>
      <c r="BT68" s="312" t="s">
        <v>272</v>
      </c>
      <c r="BU68" s="313">
        <v>0.08</v>
      </c>
      <c r="BV68" s="312" t="s">
        <v>276</v>
      </c>
      <c r="BW68" s="313">
        <v>0.112</v>
      </c>
      <c r="BX68" s="312" t="s">
        <v>269</v>
      </c>
      <c r="BY68" s="312" t="s">
        <v>342</v>
      </c>
      <c r="BZ68" s="313">
        <v>4.4999999999999998E-2</v>
      </c>
      <c r="CA68" s="142">
        <v>52.243139242839696</v>
      </c>
      <c r="CB68" s="158">
        <v>1.653</v>
      </c>
      <c r="CC68" s="159">
        <v>6.1219999999999999</v>
      </c>
      <c r="CD68" s="160">
        <v>34.890999999999998</v>
      </c>
      <c r="CE68" s="158">
        <v>11.558673000000001</v>
      </c>
      <c r="CF68" s="159">
        <v>80.471885</v>
      </c>
      <c r="CG68" s="160">
        <v>7.9694409999999989</v>
      </c>
    </row>
    <row r="69" spans="1:85" s="142" customFormat="1" x14ac:dyDescent="0.25">
      <c r="A69" s="142" t="s">
        <v>129</v>
      </c>
      <c r="B69" s="142" t="s">
        <v>79</v>
      </c>
      <c r="C69" s="142" t="s">
        <v>159</v>
      </c>
      <c r="D69" s="142" t="s">
        <v>83</v>
      </c>
      <c r="E69" s="142">
        <v>2</v>
      </c>
      <c r="F69" s="161" t="s">
        <v>173</v>
      </c>
      <c r="G69" s="161" t="s">
        <v>174</v>
      </c>
      <c r="H69" s="162">
        <v>44413</v>
      </c>
      <c r="I69" s="165" t="s">
        <v>178</v>
      </c>
      <c r="J69" s="164">
        <v>20.8</v>
      </c>
      <c r="K69" s="165">
        <v>7.2140000000000004</v>
      </c>
      <c r="L69" s="161">
        <v>5.5</v>
      </c>
      <c r="M69" s="161">
        <v>9.9700000000000006</v>
      </c>
      <c r="N69" s="161">
        <v>-28.5</v>
      </c>
      <c r="O69" s="161">
        <v>16</v>
      </c>
      <c r="P69" s="166">
        <v>1827527071.8232045</v>
      </c>
      <c r="Q69" s="167">
        <v>10.8</v>
      </c>
      <c r="R69" s="168">
        <v>3.3333333333333335</v>
      </c>
      <c r="S69" s="220">
        <v>1.0666666666666667</v>
      </c>
      <c r="T69" s="169">
        <v>19.155555555555555</v>
      </c>
      <c r="U69" s="170">
        <v>1.7877422427372971</v>
      </c>
      <c r="V69" s="168">
        <v>6.8732264182313623</v>
      </c>
      <c r="W69" s="171">
        <f t="shared" ref="W69:W97" si="5">U69/(U69+V69)*100</f>
        <v>20.641366026341821</v>
      </c>
      <c r="X69" s="165">
        <v>6654.89</v>
      </c>
      <c r="Y69" s="161">
        <v>29.16</v>
      </c>
      <c r="Z69" s="161">
        <v>0.39</v>
      </c>
      <c r="AA69" s="161">
        <v>26.44</v>
      </c>
      <c r="AB69" s="161">
        <v>26.09</v>
      </c>
      <c r="AC69" s="161">
        <v>21.59</v>
      </c>
      <c r="AD69" s="161">
        <v>31089.22</v>
      </c>
      <c r="AE69" s="161">
        <v>407.24</v>
      </c>
      <c r="AF69" s="161">
        <v>34.380000000000003</v>
      </c>
      <c r="AG69" s="161">
        <v>20.53</v>
      </c>
      <c r="AH69" s="161" t="s">
        <v>351</v>
      </c>
      <c r="AI69" s="161">
        <v>34.020000000000003</v>
      </c>
      <c r="AJ69" s="161">
        <v>155.51</v>
      </c>
      <c r="AK69" s="164">
        <v>0.15</v>
      </c>
      <c r="AL69" s="172">
        <v>0</v>
      </c>
      <c r="AM69" s="164">
        <v>0.57699999999999996</v>
      </c>
      <c r="AN69" s="164">
        <v>1.448</v>
      </c>
      <c r="AO69" s="164">
        <v>149.42699999999999</v>
      </c>
      <c r="AP69" s="164">
        <v>71.86</v>
      </c>
      <c r="AQ69" s="173">
        <v>45.100958952361111</v>
      </c>
      <c r="AR69" s="312" t="s">
        <v>276</v>
      </c>
      <c r="AS69" s="312" t="s">
        <v>335</v>
      </c>
      <c r="AT69" s="312" t="s">
        <v>252</v>
      </c>
      <c r="AU69" s="312" t="s">
        <v>336</v>
      </c>
      <c r="AV69" s="312" t="s">
        <v>276</v>
      </c>
      <c r="AW69" s="312" t="s">
        <v>337</v>
      </c>
      <c r="AX69" s="312" t="s">
        <v>338</v>
      </c>
      <c r="AY69" s="312" t="s">
        <v>267</v>
      </c>
      <c r="AZ69" s="312" t="s">
        <v>339</v>
      </c>
      <c r="BA69" s="312" t="s">
        <v>284</v>
      </c>
      <c r="BB69" s="312" t="s">
        <v>340</v>
      </c>
      <c r="BC69" s="312" t="s">
        <v>261</v>
      </c>
      <c r="BD69" s="313">
        <v>4.5999999999999999E-2</v>
      </c>
      <c r="BE69" s="312" t="s">
        <v>262</v>
      </c>
      <c r="BF69" s="313">
        <v>8.5999999999999993E-2</v>
      </c>
      <c r="BG69" s="312" t="s">
        <v>271</v>
      </c>
      <c r="BH69" s="312" t="s">
        <v>285</v>
      </c>
      <c r="BI69" s="313">
        <v>4.0000000000000001E-3</v>
      </c>
      <c r="BJ69" s="312" t="s">
        <v>264</v>
      </c>
      <c r="BK69" s="312" t="s">
        <v>271</v>
      </c>
      <c r="BL69" s="312" t="s">
        <v>341</v>
      </c>
      <c r="BM69" s="312" t="s">
        <v>264</v>
      </c>
      <c r="BN69" s="313">
        <v>0.14099999999999999</v>
      </c>
      <c r="BO69" s="312" t="s">
        <v>293</v>
      </c>
      <c r="BP69" s="313">
        <v>2.8000000000000001E-2</v>
      </c>
      <c r="BQ69" s="312" t="s">
        <v>273</v>
      </c>
      <c r="BR69" s="312" t="s">
        <v>254</v>
      </c>
      <c r="BS69" s="312" t="s">
        <v>271</v>
      </c>
      <c r="BT69" s="312" t="s">
        <v>272</v>
      </c>
      <c r="BU69" s="313">
        <v>0.08</v>
      </c>
      <c r="BV69" s="312" t="s">
        <v>276</v>
      </c>
      <c r="BW69" s="313">
        <v>0.112</v>
      </c>
      <c r="BX69" s="312" t="s">
        <v>269</v>
      </c>
      <c r="BY69" s="312" t="s">
        <v>342</v>
      </c>
      <c r="BZ69" s="313">
        <v>4.4999999999999998E-2</v>
      </c>
      <c r="CA69" s="142">
        <v>49.597894698098983</v>
      </c>
      <c r="CB69" s="174">
        <v>1.7969999999999999</v>
      </c>
      <c r="CC69" s="175">
        <v>8.9659999999999993</v>
      </c>
      <c r="CD69" s="171">
        <v>115.227</v>
      </c>
      <c r="CE69" s="174">
        <v>9.9871529999999993</v>
      </c>
      <c r="CF69" s="175">
        <v>73.005951999999994</v>
      </c>
      <c r="CG69" s="171">
        <v>17.006896000000001</v>
      </c>
    </row>
    <row r="70" spans="1:85" s="142" customFormat="1" ht="15.75" thickBot="1" x14ac:dyDescent="0.3">
      <c r="A70" s="142" t="s">
        <v>130</v>
      </c>
      <c r="B70" s="142" t="s">
        <v>79</v>
      </c>
      <c r="C70" s="142" t="s">
        <v>159</v>
      </c>
      <c r="D70" s="142" t="s">
        <v>83</v>
      </c>
      <c r="E70" s="142">
        <v>3</v>
      </c>
      <c r="F70" s="176" t="s">
        <v>173</v>
      </c>
      <c r="G70" s="176" t="s">
        <v>174</v>
      </c>
      <c r="H70" s="177">
        <v>44413</v>
      </c>
      <c r="I70" s="180" t="s">
        <v>179</v>
      </c>
      <c r="J70" s="179">
        <v>20.8</v>
      </c>
      <c r="K70" s="180">
        <v>7.1710000000000003</v>
      </c>
      <c r="L70" s="176">
        <v>4.9000000000000004</v>
      </c>
      <c r="M70" s="176">
        <v>8.7200000000000006</v>
      </c>
      <c r="N70" s="176">
        <v>-26.4</v>
      </c>
      <c r="O70" s="176">
        <v>19</v>
      </c>
      <c r="P70" s="181">
        <v>1338876464.0883977</v>
      </c>
      <c r="Q70" s="182">
        <v>8.5333333333333332</v>
      </c>
      <c r="R70" s="183">
        <v>1.4</v>
      </c>
      <c r="S70" s="221">
        <v>0.13333333333333333</v>
      </c>
      <c r="T70" s="184">
        <v>12.066666666666666</v>
      </c>
      <c r="U70" s="185">
        <v>1.146205008432547</v>
      </c>
      <c r="V70" s="183">
        <v>5.1544169989957442</v>
      </c>
      <c r="W70" s="186">
        <f t="shared" si="5"/>
        <v>18.191934178581054</v>
      </c>
      <c r="X70" s="180">
        <v>7247.15</v>
      </c>
      <c r="Y70" s="176">
        <v>21.1</v>
      </c>
      <c r="Z70" s="176">
        <v>0.3</v>
      </c>
      <c r="AA70" s="176">
        <v>21.1</v>
      </c>
      <c r="AB70" s="176">
        <v>29.11</v>
      </c>
      <c r="AC70" s="176">
        <v>21.79</v>
      </c>
      <c r="AD70" s="176">
        <v>28682.63</v>
      </c>
      <c r="AE70" s="176">
        <v>416.44</v>
      </c>
      <c r="AF70" s="176">
        <v>31.19</v>
      </c>
      <c r="AG70" s="176">
        <v>21.62</v>
      </c>
      <c r="AH70" s="176" t="s">
        <v>350</v>
      </c>
      <c r="AI70" s="176">
        <v>39.18</v>
      </c>
      <c r="AJ70" s="176">
        <v>122.26</v>
      </c>
      <c r="AK70" s="179">
        <v>0.15</v>
      </c>
      <c r="AL70" s="187">
        <v>0</v>
      </c>
      <c r="AM70" s="179">
        <v>1.22</v>
      </c>
      <c r="AN70" s="179">
        <v>3.6880000000000002</v>
      </c>
      <c r="AO70" s="179">
        <v>155.72</v>
      </c>
      <c r="AP70" s="179">
        <v>107.47199999999999</v>
      </c>
      <c r="AQ70" s="188">
        <v>44.65365928037469</v>
      </c>
      <c r="AR70" s="312" t="s">
        <v>276</v>
      </c>
      <c r="AS70" s="312" t="s">
        <v>335</v>
      </c>
      <c r="AT70" s="312" t="s">
        <v>252</v>
      </c>
      <c r="AU70" s="312" t="s">
        <v>336</v>
      </c>
      <c r="AV70" s="312" t="s">
        <v>276</v>
      </c>
      <c r="AW70" s="312" t="s">
        <v>337</v>
      </c>
      <c r="AX70" s="312" t="s">
        <v>338</v>
      </c>
      <c r="AY70" s="312" t="s">
        <v>267</v>
      </c>
      <c r="AZ70" s="312" t="s">
        <v>339</v>
      </c>
      <c r="BA70" s="312" t="s">
        <v>284</v>
      </c>
      <c r="BB70" s="312" t="s">
        <v>340</v>
      </c>
      <c r="BC70" s="312" t="s">
        <v>261</v>
      </c>
      <c r="BD70" s="313">
        <v>4.5999999999999999E-2</v>
      </c>
      <c r="BE70" s="312" t="s">
        <v>262</v>
      </c>
      <c r="BF70" s="313">
        <v>8.5999999999999993E-2</v>
      </c>
      <c r="BG70" s="312" t="s">
        <v>271</v>
      </c>
      <c r="BH70" s="312" t="s">
        <v>285</v>
      </c>
      <c r="BI70" s="313">
        <v>4.0000000000000001E-3</v>
      </c>
      <c r="BJ70" s="312" t="s">
        <v>264</v>
      </c>
      <c r="BK70" s="312" t="s">
        <v>271</v>
      </c>
      <c r="BL70" s="312" t="s">
        <v>341</v>
      </c>
      <c r="BM70" s="312" t="s">
        <v>264</v>
      </c>
      <c r="BN70" s="313">
        <v>0.14099999999999999</v>
      </c>
      <c r="BO70" s="312" t="s">
        <v>293</v>
      </c>
      <c r="BP70" s="313">
        <v>2.8000000000000001E-2</v>
      </c>
      <c r="BQ70" s="312" t="s">
        <v>273</v>
      </c>
      <c r="BR70" s="312" t="s">
        <v>254</v>
      </c>
      <c r="BS70" s="312" t="s">
        <v>271</v>
      </c>
      <c r="BT70" s="312" t="s">
        <v>272</v>
      </c>
      <c r="BU70" s="313">
        <v>0.08</v>
      </c>
      <c r="BV70" s="312" t="s">
        <v>276</v>
      </c>
      <c r="BW70" s="313">
        <v>0.112</v>
      </c>
      <c r="BX70" s="312" t="s">
        <v>269</v>
      </c>
      <c r="BY70" s="312" t="s">
        <v>342</v>
      </c>
      <c r="BZ70" s="313">
        <v>4.4999999999999998E-2</v>
      </c>
      <c r="CA70" s="142">
        <v>48.25411619301849</v>
      </c>
      <c r="CB70" s="189">
        <v>1.5549999999999999</v>
      </c>
      <c r="CC70" s="190">
        <v>6.7850000000000001</v>
      </c>
      <c r="CD70" s="191">
        <v>35.968000000000004</v>
      </c>
      <c r="CE70" s="189">
        <v>12.595852999999998</v>
      </c>
      <c r="CF70" s="190">
        <v>79.653474000000003</v>
      </c>
      <c r="CG70" s="191">
        <v>7.750669000000002</v>
      </c>
    </row>
    <row r="71" spans="1:85" s="142" customFormat="1" x14ac:dyDescent="0.25">
      <c r="A71" s="142" t="s">
        <v>131</v>
      </c>
      <c r="B71" s="142" t="s">
        <v>80</v>
      </c>
      <c r="C71" s="142" t="s">
        <v>159</v>
      </c>
      <c r="D71" s="142" t="s">
        <v>82</v>
      </c>
      <c r="E71" s="142">
        <v>1</v>
      </c>
      <c r="F71" s="143" t="s">
        <v>175</v>
      </c>
      <c r="G71" s="143" t="s">
        <v>176</v>
      </c>
      <c r="H71" s="144">
        <v>44412</v>
      </c>
      <c r="I71" s="224">
        <v>0.42083333333333334</v>
      </c>
      <c r="J71" s="146">
        <v>19.399999999999999</v>
      </c>
      <c r="K71" s="147">
        <v>7.0510000000000002</v>
      </c>
      <c r="L71" s="143">
        <v>0.3</v>
      </c>
      <c r="M71" s="143">
        <v>0.83299999999999996</v>
      </c>
      <c r="N71" s="143">
        <v>-19.600000000000001</v>
      </c>
      <c r="O71" s="143">
        <v>17</v>
      </c>
      <c r="P71" s="148">
        <v>2555259957.1734476</v>
      </c>
      <c r="Q71" s="149">
        <v>12.066666666666666</v>
      </c>
      <c r="R71" s="150">
        <v>0.2</v>
      </c>
      <c r="S71" s="219">
        <v>2.4</v>
      </c>
      <c r="T71" s="151">
        <v>15.266666666666666</v>
      </c>
      <c r="U71" s="152">
        <v>16.491935403943394</v>
      </c>
      <c r="V71" s="150">
        <v>30.338134993261267</v>
      </c>
      <c r="W71" s="153">
        <f t="shared" si="5"/>
        <v>35.216550528456636</v>
      </c>
      <c r="X71" s="147">
        <v>6603.91</v>
      </c>
      <c r="Y71" s="143">
        <v>10.88</v>
      </c>
      <c r="Z71" s="143">
        <v>0.1</v>
      </c>
      <c r="AA71" s="143">
        <v>9.5299999999999994</v>
      </c>
      <c r="AB71" s="143">
        <v>27.65</v>
      </c>
      <c r="AC71" s="143">
        <v>10.96</v>
      </c>
      <c r="AD71" s="143">
        <v>24129.95</v>
      </c>
      <c r="AE71" s="143">
        <v>416.83</v>
      </c>
      <c r="AF71" s="143">
        <v>21.87</v>
      </c>
      <c r="AG71" s="143">
        <v>19.47</v>
      </c>
      <c r="AH71" s="143" t="s">
        <v>351</v>
      </c>
      <c r="AI71" s="143">
        <v>31.42</v>
      </c>
      <c r="AJ71" s="143">
        <v>86.69</v>
      </c>
      <c r="AK71" s="146">
        <v>7.0000000000000007E-2</v>
      </c>
      <c r="AL71" s="156">
        <v>0</v>
      </c>
      <c r="AM71" s="146">
        <v>0.245</v>
      </c>
      <c r="AN71" s="146">
        <v>0.79</v>
      </c>
      <c r="AO71" s="146">
        <v>453.98700000000002</v>
      </c>
      <c r="AP71" s="146">
        <v>63.265000000000001</v>
      </c>
      <c r="AQ71" s="157">
        <v>56.655810903978754</v>
      </c>
      <c r="AR71" s="314" t="s">
        <v>287</v>
      </c>
      <c r="AS71" s="314" t="s">
        <v>256</v>
      </c>
      <c r="AT71" s="314" t="s">
        <v>278</v>
      </c>
      <c r="AU71" s="314" t="s">
        <v>343</v>
      </c>
      <c r="AV71" s="314" t="s">
        <v>287</v>
      </c>
      <c r="AW71" s="314" t="s">
        <v>280</v>
      </c>
      <c r="AX71" s="314" t="s">
        <v>344</v>
      </c>
      <c r="AY71" s="314" t="s">
        <v>267</v>
      </c>
      <c r="AZ71" s="314" t="s">
        <v>345</v>
      </c>
      <c r="BA71" s="314" t="s">
        <v>273</v>
      </c>
      <c r="BB71" s="314" t="s">
        <v>346</v>
      </c>
      <c r="BC71" s="314" t="s">
        <v>261</v>
      </c>
      <c r="BD71" s="314" t="s">
        <v>284</v>
      </c>
      <c r="BE71" s="314" t="s">
        <v>263</v>
      </c>
      <c r="BF71" s="314" t="s">
        <v>262</v>
      </c>
      <c r="BG71" s="314" t="s">
        <v>264</v>
      </c>
      <c r="BH71" s="314" t="s">
        <v>265</v>
      </c>
      <c r="BI71" s="314" t="s">
        <v>261</v>
      </c>
      <c r="BJ71" s="314" t="s">
        <v>264</v>
      </c>
      <c r="BK71" s="314" t="s">
        <v>264</v>
      </c>
      <c r="BL71" s="314" t="s">
        <v>347</v>
      </c>
      <c r="BM71" s="314" t="s">
        <v>264</v>
      </c>
      <c r="BN71" s="315">
        <v>2.4E-2</v>
      </c>
      <c r="BO71" s="314" t="s">
        <v>274</v>
      </c>
      <c r="BP71" s="314" t="s">
        <v>293</v>
      </c>
      <c r="BQ71" s="314" t="s">
        <v>273</v>
      </c>
      <c r="BR71" s="314" t="s">
        <v>254</v>
      </c>
      <c r="BS71" s="314" t="s">
        <v>264</v>
      </c>
      <c r="BT71" s="314" t="s">
        <v>272</v>
      </c>
      <c r="BU71" s="314" t="s">
        <v>271</v>
      </c>
      <c r="BV71" s="314" t="s">
        <v>287</v>
      </c>
      <c r="BW71" s="314" t="s">
        <v>265</v>
      </c>
      <c r="BX71" s="314" t="s">
        <v>254</v>
      </c>
      <c r="BY71" s="314" t="s">
        <v>316</v>
      </c>
      <c r="BZ71" s="314" t="s">
        <v>289</v>
      </c>
      <c r="CA71" s="142">
        <v>64.017167135660188</v>
      </c>
      <c r="CB71" s="203">
        <v>2.0459999999999998</v>
      </c>
      <c r="CC71" s="204">
        <v>9.2430000000000003</v>
      </c>
      <c r="CD71" s="153">
        <v>49.442</v>
      </c>
      <c r="CE71" s="203">
        <v>8.0553360000000005</v>
      </c>
      <c r="CF71" s="204">
        <v>80.982892000000007</v>
      </c>
      <c r="CG71" s="153">
        <v>10.961773000000001</v>
      </c>
    </row>
    <row r="72" spans="1:85" s="142" customFormat="1" x14ac:dyDescent="0.25">
      <c r="A72" s="142" t="s">
        <v>132</v>
      </c>
      <c r="B72" s="142" t="s">
        <v>80</v>
      </c>
      <c r="C72" s="142" t="s">
        <v>159</v>
      </c>
      <c r="D72" s="142" t="s">
        <v>82</v>
      </c>
      <c r="E72" s="142">
        <v>2</v>
      </c>
      <c r="F72" s="161" t="s">
        <v>175</v>
      </c>
      <c r="G72" s="161" t="s">
        <v>176</v>
      </c>
      <c r="H72" s="162">
        <v>44412</v>
      </c>
      <c r="I72" s="225">
        <v>0.43263888888888885</v>
      </c>
      <c r="J72" s="164">
        <v>19.399999999999999</v>
      </c>
      <c r="K72" s="165">
        <v>7.0179999999999998</v>
      </c>
      <c r="L72" s="161">
        <v>0.4</v>
      </c>
      <c r="M72" s="161">
        <v>0.86099999999999999</v>
      </c>
      <c r="N72" s="161">
        <v>-17.899999999999999</v>
      </c>
      <c r="O72" s="161">
        <v>32</v>
      </c>
      <c r="P72" s="166">
        <v>1976740471.0920773</v>
      </c>
      <c r="Q72" s="167">
        <v>21.533333333333335</v>
      </c>
      <c r="R72" s="168">
        <v>0.4</v>
      </c>
      <c r="S72" s="220">
        <v>3.4666666666666668</v>
      </c>
      <c r="T72" s="169">
        <v>26.222222222222225</v>
      </c>
      <c r="U72" s="170">
        <v>14.668894263937027</v>
      </c>
      <c r="V72" s="168">
        <v>36.175320344983461</v>
      </c>
      <c r="W72" s="171">
        <f t="shared" si="5"/>
        <v>28.850665462660928</v>
      </c>
      <c r="X72" s="165">
        <v>6885.16</v>
      </c>
      <c r="Y72" s="161">
        <v>11.09</v>
      </c>
      <c r="Z72" s="161">
        <v>0.09</v>
      </c>
      <c r="AA72" s="161">
        <v>9.24</v>
      </c>
      <c r="AB72" s="161">
        <v>28.44</v>
      </c>
      <c r="AC72" s="161">
        <v>10.17</v>
      </c>
      <c r="AD72" s="161">
        <v>24894.61</v>
      </c>
      <c r="AE72" s="161">
        <v>403.83</v>
      </c>
      <c r="AF72" s="161">
        <v>21.95</v>
      </c>
      <c r="AG72" s="161">
        <v>20.56</v>
      </c>
      <c r="AH72" s="161" t="s">
        <v>349</v>
      </c>
      <c r="AI72" s="161">
        <v>32.15</v>
      </c>
      <c r="AJ72" s="161">
        <v>81.069999999999993</v>
      </c>
      <c r="AK72" s="164">
        <v>7.0000000000000007E-2</v>
      </c>
      <c r="AL72" s="172">
        <v>0</v>
      </c>
      <c r="AM72" s="164">
        <v>0.20499999999999999</v>
      </c>
      <c r="AN72" s="164">
        <v>0.53300000000000003</v>
      </c>
      <c r="AO72" s="164">
        <v>441.20400000000001</v>
      </c>
      <c r="AP72" s="164">
        <v>81.481999999999999</v>
      </c>
      <c r="AQ72" s="173">
        <v>37.764525037218959</v>
      </c>
      <c r="AR72" s="314" t="s">
        <v>287</v>
      </c>
      <c r="AS72" s="314" t="s">
        <v>256</v>
      </c>
      <c r="AT72" s="314" t="s">
        <v>278</v>
      </c>
      <c r="AU72" s="314" t="s">
        <v>343</v>
      </c>
      <c r="AV72" s="314" t="s">
        <v>287</v>
      </c>
      <c r="AW72" s="314" t="s">
        <v>280</v>
      </c>
      <c r="AX72" s="314" t="s">
        <v>344</v>
      </c>
      <c r="AY72" s="314" t="s">
        <v>267</v>
      </c>
      <c r="AZ72" s="314" t="s">
        <v>345</v>
      </c>
      <c r="BA72" s="314" t="s">
        <v>273</v>
      </c>
      <c r="BB72" s="314" t="s">
        <v>346</v>
      </c>
      <c r="BC72" s="314" t="s">
        <v>261</v>
      </c>
      <c r="BD72" s="314" t="s">
        <v>284</v>
      </c>
      <c r="BE72" s="314" t="s">
        <v>263</v>
      </c>
      <c r="BF72" s="314" t="s">
        <v>262</v>
      </c>
      <c r="BG72" s="314" t="s">
        <v>264</v>
      </c>
      <c r="BH72" s="314" t="s">
        <v>265</v>
      </c>
      <c r="BI72" s="314" t="s">
        <v>261</v>
      </c>
      <c r="BJ72" s="314" t="s">
        <v>264</v>
      </c>
      <c r="BK72" s="314" t="s">
        <v>264</v>
      </c>
      <c r="BL72" s="314" t="s">
        <v>347</v>
      </c>
      <c r="BM72" s="314" t="s">
        <v>264</v>
      </c>
      <c r="BN72" s="315">
        <v>2.4E-2</v>
      </c>
      <c r="BO72" s="314" t="s">
        <v>274</v>
      </c>
      <c r="BP72" s="314" t="s">
        <v>293</v>
      </c>
      <c r="BQ72" s="314" t="s">
        <v>273</v>
      </c>
      <c r="BR72" s="314" t="s">
        <v>254</v>
      </c>
      <c r="BS72" s="314" t="s">
        <v>264</v>
      </c>
      <c r="BT72" s="314" t="s">
        <v>272</v>
      </c>
      <c r="BU72" s="314" t="s">
        <v>271</v>
      </c>
      <c r="BV72" s="314" t="s">
        <v>287</v>
      </c>
      <c r="BW72" s="314" t="s">
        <v>265</v>
      </c>
      <c r="BX72" s="314" t="s">
        <v>254</v>
      </c>
      <c r="BY72" s="314" t="s">
        <v>316</v>
      </c>
      <c r="BZ72" s="314" t="s">
        <v>289</v>
      </c>
      <c r="CA72" s="142">
        <v>64.82524916943521</v>
      </c>
      <c r="CB72" s="174">
        <v>2.008</v>
      </c>
      <c r="CC72" s="175">
        <v>7.6150000000000002</v>
      </c>
      <c r="CD72" s="171">
        <v>33.398000000000003</v>
      </c>
      <c r="CE72" s="174">
        <v>8.1968830000000015</v>
      </c>
      <c r="CF72" s="175">
        <v>85.541285999999999</v>
      </c>
      <c r="CG72" s="171">
        <v>6.2618289999999988</v>
      </c>
    </row>
    <row r="73" spans="1:85" s="142" customFormat="1" ht="15.75" thickBot="1" x14ac:dyDescent="0.3">
      <c r="A73" s="142" t="s">
        <v>133</v>
      </c>
      <c r="B73" s="142" t="s">
        <v>80</v>
      </c>
      <c r="C73" s="142" t="s">
        <v>159</v>
      </c>
      <c r="D73" s="142" t="s">
        <v>82</v>
      </c>
      <c r="E73" s="142">
        <v>3</v>
      </c>
      <c r="F73" s="176" t="s">
        <v>175</v>
      </c>
      <c r="G73" s="176" t="s">
        <v>176</v>
      </c>
      <c r="H73" s="177">
        <v>44412</v>
      </c>
      <c r="I73" s="226">
        <v>0.43958333333333338</v>
      </c>
      <c r="J73" s="179">
        <v>19.399999999999999</v>
      </c>
      <c r="K73" s="180">
        <v>7.0019999999999998</v>
      </c>
      <c r="L73" s="176">
        <v>0.4</v>
      </c>
      <c r="M73" s="176">
        <v>0.877</v>
      </c>
      <c r="N73" s="176">
        <v>-17.100000000000001</v>
      </c>
      <c r="O73" s="176">
        <v>16</v>
      </c>
      <c r="P73" s="181">
        <v>1995463811.5631692</v>
      </c>
      <c r="Q73" s="182">
        <v>16.8</v>
      </c>
      <c r="R73" s="183">
        <v>0.93333333333333335</v>
      </c>
      <c r="S73" s="221">
        <v>3.7333333333333334</v>
      </c>
      <c r="T73" s="184">
        <v>22.288888888888891</v>
      </c>
      <c r="U73" s="185">
        <v>11.258509338453482</v>
      </c>
      <c r="V73" s="183">
        <v>26.584627916448468</v>
      </c>
      <c r="W73" s="186">
        <f t="shared" si="5"/>
        <v>29.750465091250145</v>
      </c>
      <c r="X73" s="180">
        <v>6761.44</v>
      </c>
      <c r="Y73" s="176">
        <v>11.23</v>
      </c>
      <c r="Z73" s="176">
        <v>0.1</v>
      </c>
      <c r="AA73" s="176">
        <v>9.5399999999999991</v>
      </c>
      <c r="AB73" s="176">
        <v>28.05</v>
      </c>
      <c r="AC73" s="176">
        <v>10.59</v>
      </c>
      <c r="AD73" s="176">
        <v>24801.94</v>
      </c>
      <c r="AE73" s="176">
        <v>393.84</v>
      </c>
      <c r="AF73" s="176">
        <v>22.05</v>
      </c>
      <c r="AG73" s="176">
        <v>19.55</v>
      </c>
      <c r="AH73" s="176" t="s">
        <v>351</v>
      </c>
      <c r="AI73" s="176">
        <v>31.89</v>
      </c>
      <c r="AJ73" s="176">
        <v>81.489999999999995</v>
      </c>
      <c r="AK73" s="179">
        <v>7.0000000000000007E-2</v>
      </c>
      <c r="AL73" s="187">
        <v>0</v>
      </c>
      <c r="AM73" s="179">
        <v>0.27100000000000002</v>
      </c>
      <c r="AN73" s="179">
        <v>1.1739999999999999</v>
      </c>
      <c r="AO73" s="179">
        <v>444.863</v>
      </c>
      <c r="AP73" s="179">
        <v>101.881</v>
      </c>
      <c r="AQ73" s="188">
        <v>56.467311848219012</v>
      </c>
      <c r="AR73" s="314" t="s">
        <v>287</v>
      </c>
      <c r="AS73" s="314" t="s">
        <v>256</v>
      </c>
      <c r="AT73" s="314" t="s">
        <v>278</v>
      </c>
      <c r="AU73" s="314" t="s">
        <v>343</v>
      </c>
      <c r="AV73" s="314" t="s">
        <v>287</v>
      </c>
      <c r="AW73" s="314" t="s">
        <v>280</v>
      </c>
      <c r="AX73" s="314" t="s">
        <v>344</v>
      </c>
      <c r="AY73" s="314" t="s">
        <v>267</v>
      </c>
      <c r="AZ73" s="314" t="s">
        <v>345</v>
      </c>
      <c r="BA73" s="314" t="s">
        <v>273</v>
      </c>
      <c r="BB73" s="314" t="s">
        <v>346</v>
      </c>
      <c r="BC73" s="314" t="s">
        <v>261</v>
      </c>
      <c r="BD73" s="314" t="s">
        <v>284</v>
      </c>
      <c r="BE73" s="314" t="s">
        <v>263</v>
      </c>
      <c r="BF73" s="314" t="s">
        <v>262</v>
      </c>
      <c r="BG73" s="314" t="s">
        <v>264</v>
      </c>
      <c r="BH73" s="314" t="s">
        <v>265</v>
      </c>
      <c r="BI73" s="314" t="s">
        <v>261</v>
      </c>
      <c r="BJ73" s="314" t="s">
        <v>264</v>
      </c>
      <c r="BK73" s="314" t="s">
        <v>264</v>
      </c>
      <c r="BL73" s="314" t="s">
        <v>347</v>
      </c>
      <c r="BM73" s="314" t="s">
        <v>264</v>
      </c>
      <c r="BN73" s="315">
        <v>2.4E-2</v>
      </c>
      <c r="BO73" s="314" t="s">
        <v>274</v>
      </c>
      <c r="BP73" s="314" t="s">
        <v>293</v>
      </c>
      <c r="BQ73" s="314" t="s">
        <v>273</v>
      </c>
      <c r="BR73" s="314" t="s">
        <v>254</v>
      </c>
      <c r="BS73" s="314" t="s">
        <v>264</v>
      </c>
      <c r="BT73" s="314" t="s">
        <v>272</v>
      </c>
      <c r="BU73" s="314" t="s">
        <v>271</v>
      </c>
      <c r="BV73" s="314" t="s">
        <v>287</v>
      </c>
      <c r="BW73" s="314" t="s">
        <v>265</v>
      </c>
      <c r="BX73" s="314" t="s">
        <v>254</v>
      </c>
      <c r="BY73" s="314" t="s">
        <v>316</v>
      </c>
      <c r="BZ73" s="314" t="s">
        <v>289</v>
      </c>
      <c r="CA73" s="142">
        <v>62.2554869258895</v>
      </c>
      <c r="CB73" s="217">
        <v>1.919</v>
      </c>
      <c r="CC73" s="218">
        <v>7.61</v>
      </c>
      <c r="CD73" s="186">
        <v>34.755000000000003</v>
      </c>
      <c r="CE73" s="217">
        <v>8.9102149999999991</v>
      </c>
      <c r="CF73" s="218">
        <v>84.245351999999997</v>
      </c>
      <c r="CG73" s="186">
        <v>6.8444330000000013</v>
      </c>
    </row>
    <row r="74" spans="1:85" s="227" customFormat="1" x14ac:dyDescent="0.25">
      <c r="A74" s="227" t="s">
        <v>134</v>
      </c>
      <c r="B74" s="227" t="s">
        <v>64</v>
      </c>
      <c r="C74" s="227" t="s">
        <v>160</v>
      </c>
      <c r="D74" s="227" t="s">
        <v>82</v>
      </c>
      <c r="E74" s="227">
        <v>1</v>
      </c>
      <c r="F74" s="228" t="s">
        <v>161</v>
      </c>
      <c r="G74" s="228" t="s">
        <v>162</v>
      </c>
      <c r="H74" s="229">
        <v>44540</v>
      </c>
      <c r="I74" s="230">
        <v>0.46527777777777773</v>
      </c>
      <c r="J74" s="231">
        <v>7.8</v>
      </c>
      <c r="K74" s="232">
        <v>7.8</v>
      </c>
      <c r="L74" s="228">
        <v>0.6</v>
      </c>
      <c r="M74" s="228">
        <v>0.1227</v>
      </c>
      <c r="N74" s="233">
        <v>-41.723000000000013</v>
      </c>
      <c r="O74" s="228">
        <v>6.6</v>
      </c>
      <c r="P74" s="234">
        <v>1851050847.4576273</v>
      </c>
      <c r="Q74" s="235">
        <v>1.7666666666666666</v>
      </c>
      <c r="R74" s="236">
        <v>0.6333333333333333</v>
      </c>
      <c r="S74" s="237">
        <v>1.6666666666666667</v>
      </c>
      <c r="T74" s="238">
        <v>4.5888888888888886</v>
      </c>
      <c r="U74" s="239">
        <v>3.0635486710405706</v>
      </c>
      <c r="V74" s="236">
        <v>9.387168807199842</v>
      </c>
      <c r="W74" s="240">
        <f t="shared" si="5"/>
        <v>24.60539865589757</v>
      </c>
      <c r="X74" s="232">
        <v>5991.98</v>
      </c>
      <c r="Y74" s="228">
        <v>7.34</v>
      </c>
      <c r="Z74" s="228">
        <v>0.08</v>
      </c>
      <c r="AA74" s="228">
        <v>5.62</v>
      </c>
      <c r="AB74" s="228">
        <v>13.8</v>
      </c>
      <c r="AC74" s="228">
        <v>9.16</v>
      </c>
      <c r="AD74" s="228">
        <v>16372.08</v>
      </c>
      <c r="AE74" s="228">
        <v>309.10000000000002</v>
      </c>
      <c r="AF74" s="228">
        <v>11.19</v>
      </c>
      <c r="AG74" s="228">
        <v>13.05</v>
      </c>
      <c r="AH74" s="228" t="s">
        <v>348</v>
      </c>
      <c r="AI74" s="228">
        <v>26.45</v>
      </c>
      <c r="AJ74" s="228">
        <v>57.63</v>
      </c>
      <c r="AK74" s="231">
        <v>0.04</v>
      </c>
      <c r="AL74" s="241">
        <v>0</v>
      </c>
      <c r="AM74" s="231">
        <v>0.33</v>
      </c>
      <c r="AN74" s="231">
        <v>0.61</v>
      </c>
      <c r="AO74" s="231">
        <v>319.60000000000002</v>
      </c>
      <c r="AP74" s="231">
        <v>112.33</v>
      </c>
      <c r="AQ74" s="242">
        <v>45.486638506798151</v>
      </c>
      <c r="AR74" s="312" t="s">
        <v>250</v>
      </c>
      <c r="AS74" s="312" t="s">
        <v>251</v>
      </c>
      <c r="AT74" s="312" t="s">
        <v>252</v>
      </c>
      <c r="AU74" s="312" t="s">
        <v>253</v>
      </c>
      <c r="AV74" s="312" t="s">
        <v>254</v>
      </c>
      <c r="AW74" s="312" t="s">
        <v>255</v>
      </c>
      <c r="AX74" s="312" t="s">
        <v>256</v>
      </c>
      <c r="AY74" s="312" t="s">
        <v>257</v>
      </c>
      <c r="AZ74" s="312" t="s">
        <v>258</v>
      </c>
      <c r="BA74" s="312" t="s">
        <v>259</v>
      </c>
      <c r="BB74" s="312" t="s">
        <v>260</v>
      </c>
      <c r="BC74" s="312" t="s">
        <v>261</v>
      </c>
      <c r="BD74" s="312" t="s">
        <v>262</v>
      </c>
      <c r="BE74" s="312" t="s">
        <v>263</v>
      </c>
      <c r="BF74" s="312" t="s">
        <v>262</v>
      </c>
      <c r="BG74" s="312" t="s">
        <v>264</v>
      </c>
      <c r="BH74" s="312" t="s">
        <v>265</v>
      </c>
      <c r="BI74" s="312" t="s">
        <v>261</v>
      </c>
      <c r="BJ74" s="312" t="s">
        <v>250</v>
      </c>
      <c r="BK74" s="312" t="s">
        <v>264</v>
      </c>
      <c r="BL74" s="312" t="s">
        <v>266</v>
      </c>
      <c r="BM74" s="312" t="s">
        <v>267</v>
      </c>
      <c r="BN74" s="312" t="s">
        <v>266</v>
      </c>
      <c r="BO74" s="312" t="s">
        <v>268</v>
      </c>
      <c r="BP74" s="312" t="s">
        <v>264</v>
      </c>
      <c r="BQ74" s="312" t="s">
        <v>265</v>
      </c>
      <c r="BR74" s="312" t="s">
        <v>269</v>
      </c>
      <c r="BS74" s="312" t="s">
        <v>264</v>
      </c>
      <c r="BT74" s="312" t="s">
        <v>270</v>
      </c>
      <c r="BU74" s="312" t="s">
        <v>271</v>
      </c>
      <c r="BV74" s="312" t="s">
        <v>272</v>
      </c>
      <c r="BW74" s="312" t="s">
        <v>273</v>
      </c>
      <c r="BX74" s="312" t="s">
        <v>274</v>
      </c>
      <c r="BY74" s="312" t="s">
        <v>275</v>
      </c>
      <c r="BZ74" s="313">
        <v>2.5999999999999999E-2</v>
      </c>
      <c r="CA74" s="227">
        <v>46.614760978375898</v>
      </c>
      <c r="CB74" s="243">
        <v>3.569</v>
      </c>
      <c r="CC74" s="244">
        <v>113.444</v>
      </c>
      <c r="CD74" s="245">
        <v>1012.508</v>
      </c>
      <c r="CE74" s="243">
        <v>3.9232509999999996</v>
      </c>
      <c r="CF74" s="244">
        <v>38.433541000000005</v>
      </c>
      <c r="CG74" s="245">
        <v>57.643208999999992</v>
      </c>
    </row>
    <row r="75" spans="1:85" s="227" customFormat="1" x14ac:dyDescent="0.25">
      <c r="A75" s="227" t="s">
        <v>135</v>
      </c>
      <c r="B75" s="227" t="s">
        <v>64</v>
      </c>
      <c r="C75" s="227" t="s">
        <v>160</v>
      </c>
      <c r="D75" s="227" t="s">
        <v>82</v>
      </c>
      <c r="E75" s="227">
        <v>2</v>
      </c>
      <c r="F75" s="246" t="s">
        <v>161</v>
      </c>
      <c r="G75" s="246" t="s">
        <v>162</v>
      </c>
      <c r="H75" s="247">
        <v>44540</v>
      </c>
      <c r="I75" s="248">
        <v>0.4694444444444445</v>
      </c>
      <c r="J75" s="249">
        <v>7.8</v>
      </c>
      <c r="K75" s="250">
        <v>7.34</v>
      </c>
      <c r="L75" s="246">
        <v>0.5</v>
      </c>
      <c r="M75" s="246">
        <v>0.1191</v>
      </c>
      <c r="N75" s="251">
        <v>-16.06189999999998</v>
      </c>
      <c r="O75" s="246">
        <v>18</v>
      </c>
      <c r="P75" s="252">
        <v>1229267796.6101696</v>
      </c>
      <c r="Q75" s="253">
        <v>6.0666666666666664</v>
      </c>
      <c r="R75" s="254">
        <v>1.0666666666666667</v>
      </c>
      <c r="S75" s="255">
        <v>2.6</v>
      </c>
      <c r="T75" s="256">
        <v>10.866666666666665</v>
      </c>
      <c r="U75" s="257">
        <v>11.713882337027739</v>
      </c>
      <c r="V75" s="254">
        <v>31.555896317366305</v>
      </c>
      <c r="W75" s="258">
        <f t="shared" si="5"/>
        <v>27.071740834611813</v>
      </c>
      <c r="X75" s="250">
        <v>6762.86</v>
      </c>
      <c r="Y75" s="246">
        <v>10.68</v>
      </c>
      <c r="Z75" s="246">
        <v>0.08</v>
      </c>
      <c r="AA75" s="246">
        <v>7.14</v>
      </c>
      <c r="AB75" s="246">
        <v>25.44</v>
      </c>
      <c r="AC75" s="246">
        <v>10.8</v>
      </c>
      <c r="AD75" s="246">
        <v>21611.919999999998</v>
      </c>
      <c r="AE75" s="246">
        <v>412.5</v>
      </c>
      <c r="AF75" s="246">
        <v>19.54</v>
      </c>
      <c r="AG75" s="246">
        <v>20.260000000000002</v>
      </c>
      <c r="AH75" s="246" t="s">
        <v>348</v>
      </c>
      <c r="AI75" s="246">
        <v>31.05</v>
      </c>
      <c r="AJ75" s="246">
        <v>78.7</v>
      </c>
      <c r="AK75" s="249">
        <v>0.06</v>
      </c>
      <c r="AL75" s="259">
        <v>0</v>
      </c>
      <c r="AM75" s="249">
        <v>0.32</v>
      </c>
      <c r="AN75" s="249">
        <v>0.84</v>
      </c>
      <c r="AO75" s="249">
        <v>454.42</v>
      </c>
      <c r="AP75" s="249">
        <v>89.22</v>
      </c>
      <c r="AQ75" s="260">
        <v>54.816519965531064</v>
      </c>
      <c r="AR75" s="312" t="s">
        <v>250</v>
      </c>
      <c r="AS75" s="312" t="s">
        <v>251</v>
      </c>
      <c r="AT75" s="312" t="s">
        <v>252</v>
      </c>
      <c r="AU75" s="312" t="s">
        <v>253</v>
      </c>
      <c r="AV75" s="312" t="s">
        <v>254</v>
      </c>
      <c r="AW75" s="312" t="s">
        <v>255</v>
      </c>
      <c r="AX75" s="312" t="s">
        <v>256</v>
      </c>
      <c r="AY75" s="312" t="s">
        <v>257</v>
      </c>
      <c r="AZ75" s="312" t="s">
        <v>258</v>
      </c>
      <c r="BA75" s="312" t="s">
        <v>259</v>
      </c>
      <c r="BB75" s="312" t="s">
        <v>260</v>
      </c>
      <c r="BC75" s="312" t="s">
        <v>261</v>
      </c>
      <c r="BD75" s="312" t="s">
        <v>262</v>
      </c>
      <c r="BE75" s="312" t="s">
        <v>263</v>
      </c>
      <c r="BF75" s="312" t="s">
        <v>262</v>
      </c>
      <c r="BG75" s="312" t="s">
        <v>264</v>
      </c>
      <c r="BH75" s="312" t="s">
        <v>265</v>
      </c>
      <c r="BI75" s="312" t="s">
        <v>261</v>
      </c>
      <c r="BJ75" s="312" t="s">
        <v>250</v>
      </c>
      <c r="BK75" s="312" t="s">
        <v>264</v>
      </c>
      <c r="BL75" s="312" t="s">
        <v>266</v>
      </c>
      <c r="BM75" s="312" t="s">
        <v>267</v>
      </c>
      <c r="BN75" s="312" t="s">
        <v>266</v>
      </c>
      <c r="BO75" s="312" t="s">
        <v>268</v>
      </c>
      <c r="BP75" s="312" t="s">
        <v>264</v>
      </c>
      <c r="BQ75" s="312" t="s">
        <v>265</v>
      </c>
      <c r="BR75" s="312" t="s">
        <v>269</v>
      </c>
      <c r="BS75" s="312" t="s">
        <v>264</v>
      </c>
      <c r="BT75" s="312" t="s">
        <v>270</v>
      </c>
      <c r="BU75" s="312" t="s">
        <v>271</v>
      </c>
      <c r="BV75" s="312" t="s">
        <v>272</v>
      </c>
      <c r="BW75" s="312" t="s">
        <v>273</v>
      </c>
      <c r="BX75" s="312" t="s">
        <v>274</v>
      </c>
      <c r="BY75" s="312" t="s">
        <v>275</v>
      </c>
      <c r="BZ75" s="313">
        <v>2.5999999999999999E-2</v>
      </c>
      <c r="CA75" s="227">
        <v>68.199696125682152</v>
      </c>
      <c r="CB75" s="261">
        <v>2.0030000000000001</v>
      </c>
      <c r="CC75" s="262">
        <v>8.423</v>
      </c>
      <c r="CD75" s="258">
        <v>44.289000000000001</v>
      </c>
      <c r="CE75" s="261">
        <v>8.3317110000000003</v>
      </c>
      <c r="CF75" s="262">
        <v>82.054847999999978</v>
      </c>
      <c r="CG75" s="258">
        <v>9.6134419999999992</v>
      </c>
    </row>
    <row r="76" spans="1:85" s="227" customFormat="1" ht="15.75" thickBot="1" x14ac:dyDescent="0.3">
      <c r="A76" s="227" t="s">
        <v>136</v>
      </c>
      <c r="B76" s="227" t="s">
        <v>64</v>
      </c>
      <c r="C76" s="227" t="s">
        <v>160</v>
      </c>
      <c r="D76" s="227" t="s">
        <v>82</v>
      </c>
      <c r="E76" s="227">
        <v>3</v>
      </c>
      <c r="F76" s="263" t="s">
        <v>161</v>
      </c>
      <c r="G76" s="263" t="s">
        <v>162</v>
      </c>
      <c r="H76" s="264">
        <v>44540</v>
      </c>
      <c r="I76" s="265">
        <v>0.47500000000000003</v>
      </c>
      <c r="J76" s="266">
        <v>7.9</v>
      </c>
      <c r="K76" s="267">
        <v>7.39</v>
      </c>
      <c r="L76" s="263">
        <v>0.6</v>
      </c>
      <c r="M76" s="263">
        <v>0.1232</v>
      </c>
      <c r="N76" s="268">
        <v>-18.851149999999961</v>
      </c>
      <c r="O76" s="263">
        <v>5.6</v>
      </c>
      <c r="P76" s="269">
        <v>993152542.37288141</v>
      </c>
      <c r="Q76" s="270">
        <v>5.6</v>
      </c>
      <c r="R76" s="271">
        <v>1.2</v>
      </c>
      <c r="S76" s="272">
        <v>2</v>
      </c>
      <c r="T76" s="273">
        <v>9.3333333333333339</v>
      </c>
      <c r="U76" s="274">
        <v>5.6191498999852367</v>
      </c>
      <c r="V76" s="271">
        <v>24.471011510930889</v>
      </c>
      <c r="W76" s="275">
        <f t="shared" si="5"/>
        <v>18.674376063488708</v>
      </c>
      <c r="X76" s="267">
        <v>6768.35</v>
      </c>
      <c r="Y76" s="263">
        <v>10.71</v>
      </c>
      <c r="Z76" s="263">
        <v>0.08</v>
      </c>
      <c r="AA76" s="263">
        <v>7.47</v>
      </c>
      <c r="AB76" s="263">
        <v>26.42</v>
      </c>
      <c r="AC76" s="263">
        <v>15.45</v>
      </c>
      <c r="AD76" s="263">
        <v>22322.69</v>
      </c>
      <c r="AE76" s="263">
        <v>394</v>
      </c>
      <c r="AF76" s="263">
        <v>19.52</v>
      </c>
      <c r="AG76" s="263">
        <v>17.12</v>
      </c>
      <c r="AH76" s="263" t="s">
        <v>350</v>
      </c>
      <c r="AI76" s="263">
        <v>29.91</v>
      </c>
      <c r="AJ76" s="263">
        <v>75.489999999999995</v>
      </c>
      <c r="AK76" s="266">
        <v>0.06</v>
      </c>
      <c r="AL76" s="276">
        <v>0</v>
      </c>
      <c r="AM76" s="266">
        <v>0.34</v>
      </c>
      <c r="AN76" s="266">
        <v>0.49</v>
      </c>
      <c r="AO76" s="266">
        <v>424.6</v>
      </c>
      <c r="AP76" s="266">
        <v>94.3</v>
      </c>
      <c r="AQ76" s="277">
        <v>48.432135439242344</v>
      </c>
      <c r="AR76" s="312" t="s">
        <v>250</v>
      </c>
      <c r="AS76" s="312" t="s">
        <v>251</v>
      </c>
      <c r="AT76" s="312" t="s">
        <v>252</v>
      </c>
      <c r="AU76" s="312" t="s">
        <v>253</v>
      </c>
      <c r="AV76" s="312" t="s">
        <v>254</v>
      </c>
      <c r="AW76" s="312" t="s">
        <v>255</v>
      </c>
      <c r="AX76" s="312" t="s">
        <v>256</v>
      </c>
      <c r="AY76" s="312" t="s">
        <v>257</v>
      </c>
      <c r="AZ76" s="312" t="s">
        <v>258</v>
      </c>
      <c r="BA76" s="312" t="s">
        <v>259</v>
      </c>
      <c r="BB76" s="312" t="s">
        <v>260</v>
      </c>
      <c r="BC76" s="312" t="s">
        <v>261</v>
      </c>
      <c r="BD76" s="312" t="s">
        <v>262</v>
      </c>
      <c r="BE76" s="312" t="s">
        <v>263</v>
      </c>
      <c r="BF76" s="312" t="s">
        <v>262</v>
      </c>
      <c r="BG76" s="312" t="s">
        <v>264</v>
      </c>
      <c r="BH76" s="312" t="s">
        <v>265</v>
      </c>
      <c r="BI76" s="312" t="s">
        <v>261</v>
      </c>
      <c r="BJ76" s="312" t="s">
        <v>250</v>
      </c>
      <c r="BK76" s="312" t="s">
        <v>264</v>
      </c>
      <c r="BL76" s="312" t="s">
        <v>266</v>
      </c>
      <c r="BM76" s="312" t="s">
        <v>267</v>
      </c>
      <c r="BN76" s="312" t="s">
        <v>266</v>
      </c>
      <c r="BO76" s="312" t="s">
        <v>268</v>
      </c>
      <c r="BP76" s="312" t="s">
        <v>264</v>
      </c>
      <c r="BQ76" s="312" t="s">
        <v>265</v>
      </c>
      <c r="BR76" s="312" t="s">
        <v>269</v>
      </c>
      <c r="BS76" s="312" t="s">
        <v>264</v>
      </c>
      <c r="BT76" s="312" t="s">
        <v>270</v>
      </c>
      <c r="BU76" s="312" t="s">
        <v>271</v>
      </c>
      <c r="BV76" s="312" t="s">
        <v>272</v>
      </c>
      <c r="BW76" s="312" t="s">
        <v>273</v>
      </c>
      <c r="BX76" s="312" t="s">
        <v>274</v>
      </c>
      <c r="BY76" s="312" t="s">
        <v>275</v>
      </c>
      <c r="BZ76" s="313">
        <v>2.5999999999999999E-2</v>
      </c>
      <c r="CA76" s="227">
        <v>58.420797162043861</v>
      </c>
      <c r="CB76" s="278">
        <v>1.831</v>
      </c>
      <c r="CC76" s="279">
        <v>8.9849999999999994</v>
      </c>
      <c r="CD76" s="280">
        <v>168.178</v>
      </c>
      <c r="CE76" s="278">
        <v>9.6838829999999998</v>
      </c>
      <c r="CF76" s="279">
        <v>69.547775000000001</v>
      </c>
      <c r="CG76" s="280">
        <v>20.768342999999994</v>
      </c>
    </row>
    <row r="77" spans="1:85" s="227" customFormat="1" x14ac:dyDescent="0.25">
      <c r="A77" s="227" t="s">
        <v>137</v>
      </c>
      <c r="B77" s="227" t="s">
        <v>81</v>
      </c>
      <c r="C77" s="227" t="s">
        <v>160</v>
      </c>
      <c r="D77" s="227" t="s">
        <v>83</v>
      </c>
      <c r="E77" s="227">
        <v>1</v>
      </c>
      <c r="F77" s="281" t="s">
        <v>163</v>
      </c>
      <c r="G77" s="281" t="s">
        <v>164</v>
      </c>
      <c r="H77" s="229">
        <v>44543</v>
      </c>
      <c r="I77" s="230">
        <v>0.45277777777777778</v>
      </c>
      <c r="J77" s="282">
        <v>8.1999999999999993</v>
      </c>
      <c r="K77" s="283">
        <v>7.24</v>
      </c>
      <c r="L77" s="281">
        <v>2.5</v>
      </c>
      <c r="M77" s="281">
        <v>4.67</v>
      </c>
      <c r="N77" s="284">
        <v>-10.483400000000017</v>
      </c>
      <c r="O77" s="281">
        <v>15</v>
      </c>
      <c r="P77" s="285">
        <v>1009473661.6702356</v>
      </c>
      <c r="Q77" s="286">
        <v>1.6</v>
      </c>
      <c r="R77" s="287">
        <v>14.8</v>
      </c>
      <c r="S77" s="288">
        <v>3.4666666666666668</v>
      </c>
      <c r="T77" s="289">
        <v>22.177777777777777</v>
      </c>
      <c r="U77" s="290">
        <v>17.800628029289232</v>
      </c>
      <c r="V77" s="287">
        <v>54.21728869450984</v>
      </c>
      <c r="W77" s="240">
        <f t="shared" si="5"/>
        <v>24.716943837125502</v>
      </c>
      <c r="X77" s="283">
        <v>7123.23</v>
      </c>
      <c r="Y77" s="281">
        <v>19.850000000000001</v>
      </c>
      <c r="Z77" s="281">
        <v>0.11</v>
      </c>
      <c r="AA77" s="281">
        <v>10.91</v>
      </c>
      <c r="AB77" s="281">
        <v>30.84</v>
      </c>
      <c r="AC77" s="281">
        <v>14.71</v>
      </c>
      <c r="AD77" s="281">
        <v>29158.76</v>
      </c>
      <c r="AE77" s="281">
        <v>610.08000000000004</v>
      </c>
      <c r="AF77" s="281">
        <v>24.28</v>
      </c>
      <c r="AG77" s="281">
        <v>19.260000000000002</v>
      </c>
      <c r="AH77" s="281" t="s">
        <v>348</v>
      </c>
      <c r="AI77" s="281">
        <v>45.34</v>
      </c>
      <c r="AJ77" s="281">
        <v>101.56</v>
      </c>
      <c r="AK77" s="282">
        <v>0.08</v>
      </c>
      <c r="AL77" s="291">
        <v>0.06</v>
      </c>
      <c r="AM77" s="282">
        <v>0.17</v>
      </c>
      <c r="AN77" s="282">
        <v>1.49</v>
      </c>
      <c r="AO77" s="282">
        <v>435.18</v>
      </c>
      <c r="AP77" s="282">
        <v>146.26</v>
      </c>
      <c r="AQ77" s="292" t="s">
        <v>182</v>
      </c>
      <c r="AR77" s="312" t="s">
        <v>276</v>
      </c>
      <c r="AS77" s="312" t="s">
        <v>277</v>
      </c>
      <c r="AT77" s="312" t="s">
        <v>278</v>
      </c>
      <c r="AU77" s="312" t="s">
        <v>279</v>
      </c>
      <c r="AV77" s="312" t="s">
        <v>276</v>
      </c>
      <c r="AW77" s="312" t="s">
        <v>280</v>
      </c>
      <c r="AX77" s="312" t="s">
        <v>281</v>
      </c>
      <c r="AY77" s="312" t="s">
        <v>267</v>
      </c>
      <c r="AZ77" s="312" t="s">
        <v>282</v>
      </c>
      <c r="BA77" s="312" t="s">
        <v>273</v>
      </c>
      <c r="BB77" s="312" t="s">
        <v>283</v>
      </c>
      <c r="BC77" s="312" t="s">
        <v>261</v>
      </c>
      <c r="BD77" s="312" t="s">
        <v>284</v>
      </c>
      <c r="BE77" s="312" t="s">
        <v>263</v>
      </c>
      <c r="BF77" s="312" t="s">
        <v>262</v>
      </c>
      <c r="BG77" s="312" t="s">
        <v>271</v>
      </c>
      <c r="BH77" s="312" t="s">
        <v>285</v>
      </c>
      <c r="BI77" s="312" t="s">
        <v>261</v>
      </c>
      <c r="BJ77" s="312" t="s">
        <v>264</v>
      </c>
      <c r="BK77" s="312" t="s">
        <v>271</v>
      </c>
      <c r="BL77" s="312" t="s">
        <v>286</v>
      </c>
      <c r="BM77" s="312" t="s">
        <v>264</v>
      </c>
      <c r="BN77" s="313">
        <v>3.3000000000000002E-2</v>
      </c>
      <c r="BO77" s="312" t="s">
        <v>274</v>
      </c>
      <c r="BP77" s="312" t="s">
        <v>254</v>
      </c>
      <c r="BQ77" s="312" t="s">
        <v>273</v>
      </c>
      <c r="BR77" s="312" t="s">
        <v>254</v>
      </c>
      <c r="BS77" s="312" t="s">
        <v>264</v>
      </c>
      <c r="BT77" s="312" t="s">
        <v>272</v>
      </c>
      <c r="BU77" s="312" t="s">
        <v>271</v>
      </c>
      <c r="BV77" s="312" t="s">
        <v>287</v>
      </c>
      <c r="BW77" s="312" t="s">
        <v>265</v>
      </c>
      <c r="BX77" s="312" t="s">
        <v>254</v>
      </c>
      <c r="BY77" s="312" t="s">
        <v>288</v>
      </c>
      <c r="BZ77" s="312" t="s">
        <v>289</v>
      </c>
      <c r="CA77" s="227">
        <v>65.399678417890087</v>
      </c>
      <c r="CB77" s="293">
        <v>1.9930000000000001</v>
      </c>
      <c r="CC77" s="294">
        <v>9.4909999999999997</v>
      </c>
      <c r="CD77" s="240">
        <v>51.856999999999999</v>
      </c>
      <c r="CE77" s="293">
        <v>8.4126799999999999</v>
      </c>
      <c r="CF77" s="294">
        <v>80.168641000000008</v>
      </c>
      <c r="CG77" s="240">
        <v>11.418678</v>
      </c>
    </row>
    <row r="78" spans="1:85" s="227" customFormat="1" x14ac:dyDescent="0.25">
      <c r="A78" s="227" t="s">
        <v>138</v>
      </c>
      <c r="B78" s="227" t="s">
        <v>81</v>
      </c>
      <c r="C78" s="227" t="s">
        <v>160</v>
      </c>
      <c r="D78" s="227" t="s">
        <v>83</v>
      </c>
      <c r="E78" s="227">
        <v>2</v>
      </c>
      <c r="F78" s="246" t="s">
        <v>163</v>
      </c>
      <c r="G78" s="246" t="s">
        <v>164</v>
      </c>
      <c r="H78" s="247">
        <v>44543</v>
      </c>
      <c r="I78" s="248">
        <v>0.45833333333333331</v>
      </c>
      <c r="J78" s="249">
        <v>8.6</v>
      </c>
      <c r="K78" s="250">
        <v>7.34</v>
      </c>
      <c r="L78" s="246">
        <v>2.6</v>
      </c>
      <c r="M78" s="246">
        <v>4.87</v>
      </c>
      <c r="N78" s="251">
        <v>-16.06189999999998</v>
      </c>
      <c r="O78" s="246">
        <v>16</v>
      </c>
      <c r="P78" s="252">
        <v>1268684745.762712</v>
      </c>
      <c r="Q78" s="253">
        <v>1.6</v>
      </c>
      <c r="R78" s="254">
        <v>11.2</v>
      </c>
      <c r="S78" s="255">
        <v>3.7333333333333334</v>
      </c>
      <c r="T78" s="256">
        <v>17.155555555555555</v>
      </c>
      <c r="U78" s="257">
        <v>11.354652723388449</v>
      </c>
      <c r="V78" s="254">
        <v>37.41858147735504</v>
      </c>
      <c r="W78" s="258">
        <f t="shared" si="5"/>
        <v>23.28049986731321</v>
      </c>
      <c r="X78" s="250">
        <v>7050.9</v>
      </c>
      <c r="Y78" s="246">
        <v>18.61</v>
      </c>
      <c r="Z78" s="246">
        <v>0.11</v>
      </c>
      <c r="AA78" s="246">
        <v>9.68</v>
      </c>
      <c r="AB78" s="246">
        <v>27.35</v>
      </c>
      <c r="AC78" s="246">
        <v>13.69</v>
      </c>
      <c r="AD78" s="246">
        <v>25845.56</v>
      </c>
      <c r="AE78" s="246">
        <v>573.39</v>
      </c>
      <c r="AF78" s="246">
        <v>22.03</v>
      </c>
      <c r="AG78" s="246">
        <v>20.03</v>
      </c>
      <c r="AH78" s="246" t="s">
        <v>348</v>
      </c>
      <c r="AI78" s="246">
        <v>41.59</v>
      </c>
      <c r="AJ78" s="246">
        <v>88.82</v>
      </c>
      <c r="AK78" s="249">
        <v>7.0000000000000007E-2</v>
      </c>
      <c r="AL78" s="259">
        <v>0.06</v>
      </c>
      <c r="AM78" s="249">
        <v>0.13</v>
      </c>
      <c r="AN78" s="249">
        <v>1.9</v>
      </c>
      <c r="AO78" s="249">
        <v>443.87</v>
      </c>
      <c r="AP78" s="249">
        <v>139.80000000000001</v>
      </c>
      <c r="AQ78" s="260" t="s">
        <v>182</v>
      </c>
      <c r="AR78" s="312" t="s">
        <v>276</v>
      </c>
      <c r="AS78" s="312" t="s">
        <v>277</v>
      </c>
      <c r="AT78" s="312" t="s">
        <v>278</v>
      </c>
      <c r="AU78" s="312" t="s">
        <v>279</v>
      </c>
      <c r="AV78" s="312" t="s">
        <v>276</v>
      </c>
      <c r="AW78" s="312" t="s">
        <v>280</v>
      </c>
      <c r="AX78" s="312" t="s">
        <v>281</v>
      </c>
      <c r="AY78" s="312" t="s">
        <v>267</v>
      </c>
      <c r="AZ78" s="312" t="s">
        <v>282</v>
      </c>
      <c r="BA78" s="312" t="s">
        <v>273</v>
      </c>
      <c r="BB78" s="312" t="s">
        <v>283</v>
      </c>
      <c r="BC78" s="312" t="s">
        <v>261</v>
      </c>
      <c r="BD78" s="312" t="s">
        <v>284</v>
      </c>
      <c r="BE78" s="312" t="s">
        <v>263</v>
      </c>
      <c r="BF78" s="312" t="s">
        <v>262</v>
      </c>
      <c r="BG78" s="312" t="s">
        <v>271</v>
      </c>
      <c r="BH78" s="312" t="s">
        <v>285</v>
      </c>
      <c r="BI78" s="312" t="s">
        <v>261</v>
      </c>
      <c r="BJ78" s="312" t="s">
        <v>264</v>
      </c>
      <c r="BK78" s="312" t="s">
        <v>271</v>
      </c>
      <c r="BL78" s="312" t="s">
        <v>286</v>
      </c>
      <c r="BM78" s="312" t="s">
        <v>264</v>
      </c>
      <c r="BN78" s="313">
        <v>3.3000000000000002E-2</v>
      </c>
      <c r="BO78" s="312" t="s">
        <v>274</v>
      </c>
      <c r="BP78" s="312" t="s">
        <v>254</v>
      </c>
      <c r="BQ78" s="312" t="s">
        <v>273</v>
      </c>
      <c r="BR78" s="312" t="s">
        <v>254</v>
      </c>
      <c r="BS78" s="312" t="s">
        <v>264</v>
      </c>
      <c r="BT78" s="312" t="s">
        <v>272</v>
      </c>
      <c r="BU78" s="312" t="s">
        <v>271</v>
      </c>
      <c r="BV78" s="312" t="s">
        <v>287</v>
      </c>
      <c r="BW78" s="312" t="s">
        <v>265</v>
      </c>
      <c r="BX78" s="312" t="s">
        <v>254</v>
      </c>
      <c r="BY78" s="312" t="s">
        <v>288</v>
      </c>
      <c r="BZ78" s="312" t="s">
        <v>289</v>
      </c>
      <c r="CA78" s="227">
        <v>61.896674162622787</v>
      </c>
      <c r="CB78" s="261">
        <v>2.073</v>
      </c>
      <c r="CC78" s="262">
        <v>8.4459999999999997</v>
      </c>
      <c r="CD78" s="258">
        <v>84.945999999999998</v>
      </c>
      <c r="CE78" s="261">
        <v>7.8165000000000004</v>
      </c>
      <c r="CF78" s="262">
        <v>77.493976000000004</v>
      </c>
      <c r="CG78" s="258">
        <v>14.689522999999996</v>
      </c>
    </row>
    <row r="79" spans="1:85" s="227" customFormat="1" ht="15.75" thickBot="1" x14ac:dyDescent="0.3">
      <c r="A79" s="227" t="s">
        <v>139</v>
      </c>
      <c r="B79" s="227" t="s">
        <v>81</v>
      </c>
      <c r="C79" s="227" t="s">
        <v>160</v>
      </c>
      <c r="D79" s="227" t="s">
        <v>83</v>
      </c>
      <c r="E79" s="227">
        <v>3</v>
      </c>
      <c r="F79" s="295" t="s">
        <v>163</v>
      </c>
      <c r="G79" s="295" t="s">
        <v>164</v>
      </c>
      <c r="H79" s="264">
        <v>44543</v>
      </c>
      <c r="I79" s="265">
        <v>0.46319444444444446</v>
      </c>
      <c r="J79" s="296">
        <v>8.6</v>
      </c>
      <c r="K79" s="297">
        <v>7.4</v>
      </c>
      <c r="L79" s="295">
        <v>2.4</v>
      </c>
      <c r="M79" s="295">
        <v>4.62</v>
      </c>
      <c r="N79" s="298">
        <v>-19.408999999999992</v>
      </c>
      <c r="O79" s="295">
        <v>12</v>
      </c>
      <c r="P79" s="299">
        <v>1282390149.8929336</v>
      </c>
      <c r="Q79" s="300">
        <v>0.93333333333333335</v>
      </c>
      <c r="R79" s="301">
        <v>24.533333333333335</v>
      </c>
      <c r="S79" s="302">
        <v>3.6</v>
      </c>
      <c r="T79" s="303">
        <v>29.155555555555559</v>
      </c>
      <c r="U79" s="304">
        <v>12.10476579190245</v>
      </c>
      <c r="V79" s="301">
        <v>50.287761135940471</v>
      </c>
      <c r="W79" s="275">
        <f t="shared" si="5"/>
        <v>19.400986605177305</v>
      </c>
      <c r="X79" s="297">
        <v>7233.69</v>
      </c>
      <c r="Y79" s="295">
        <v>18.54</v>
      </c>
      <c r="Z79" s="295">
        <v>0.11</v>
      </c>
      <c r="AA79" s="295">
        <v>10.29</v>
      </c>
      <c r="AB79" s="295">
        <v>29.95</v>
      </c>
      <c r="AC79" s="295">
        <v>14.07</v>
      </c>
      <c r="AD79" s="295">
        <v>27864.26</v>
      </c>
      <c r="AE79" s="295">
        <v>594.89</v>
      </c>
      <c r="AF79" s="295">
        <v>23.33</v>
      </c>
      <c r="AG79" s="295">
        <v>20.09</v>
      </c>
      <c r="AH79" s="295" t="s">
        <v>348</v>
      </c>
      <c r="AI79" s="295">
        <v>43.05</v>
      </c>
      <c r="AJ79" s="295">
        <v>89.9</v>
      </c>
      <c r="AK79" s="296">
        <v>0.08</v>
      </c>
      <c r="AL79" s="305">
        <v>0.4</v>
      </c>
      <c r="AM79" s="296">
        <v>0.24</v>
      </c>
      <c r="AN79" s="296">
        <v>0.91</v>
      </c>
      <c r="AO79" s="296">
        <v>397.98</v>
      </c>
      <c r="AP79" s="296">
        <v>151.86000000000001</v>
      </c>
      <c r="AQ79" s="306" t="s">
        <v>182</v>
      </c>
      <c r="AR79" s="312" t="s">
        <v>276</v>
      </c>
      <c r="AS79" s="312" t="s">
        <v>277</v>
      </c>
      <c r="AT79" s="312" t="s">
        <v>278</v>
      </c>
      <c r="AU79" s="312" t="s">
        <v>279</v>
      </c>
      <c r="AV79" s="312" t="s">
        <v>276</v>
      </c>
      <c r="AW79" s="312" t="s">
        <v>280</v>
      </c>
      <c r="AX79" s="312" t="s">
        <v>281</v>
      </c>
      <c r="AY79" s="312" t="s">
        <v>267</v>
      </c>
      <c r="AZ79" s="312" t="s">
        <v>282</v>
      </c>
      <c r="BA79" s="312" t="s">
        <v>273</v>
      </c>
      <c r="BB79" s="312" t="s">
        <v>283</v>
      </c>
      <c r="BC79" s="312" t="s">
        <v>261</v>
      </c>
      <c r="BD79" s="312" t="s">
        <v>284</v>
      </c>
      <c r="BE79" s="312" t="s">
        <v>263</v>
      </c>
      <c r="BF79" s="312" t="s">
        <v>262</v>
      </c>
      <c r="BG79" s="312" t="s">
        <v>271</v>
      </c>
      <c r="BH79" s="312" t="s">
        <v>285</v>
      </c>
      <c r="BI79" s="312" t="s">
        <v>261</v>
      </c>
      <c r="BJ79" s="312" t="s">
        <v>264</v>
      </c>
      <c r="BK79" s="312" t="s">
        <v>271</v>
      </c>
      <c r="BL79" s="312" t="s">
        <v>286</v>
      </c>
      <c r="BM79" s="312" t="s">
        <v>264</v>
      </c>
      <c r="BN79" s="313">
        <v>3.3000000000000002E-2</v>
      </c>
      <c r="BO79" s="312" t="s">
        <v>274</v>
      </c>
      <c r="BP79" s="312" t="s">
        <v>254</v>
      </c>
      <c r="BQ79" s="312" t="s">
        <v>273</v>
      </c>
      <c r="BR79" s="312" t="s">
        <v>254</v>
      </c>
      <c r="BS79" s="312" t="s">
        <v>264</v>
      </c>
      <c r="BT79" s="312" t="s">
        <v>272</v>
      </c>
      <c r="BU79" s="312" t="s">
        <v>271</v>
      </c>
      <c r="BV79" s="312" t="s">
        <v>287</v>
      </c>
      <c r="BW79" s="312" t="s">
        <v>265</v>
      </c>
      <c r="BX79" s="312" t="s">
        <v>254</v>
      </c>
      <c r="BY79" s="312" t="s">
        <v>288</v>
      </c>
      <c r="BZ79" s="312" t="s">
        <v>289</v>
      </c>
      <c r="CA79" s="227">
        <v>65.048527187122872</v>
      </c>
      <c r="CB79" s="307">
        <v>1.8180000000000001</v>
      </c>
      <c r="CC79" s="308">
        <v>7.6</v>
      </c>
      <c r="CD79" s="275">
        <v>39.042999999999999</v>
      </c>
      <c r="CE79" s="307">
        <v>9.7887599999999999</v>
      </c>
      <c r="CF79" s="308">
        <v>81.750907999999995</v>
      </c>
      <c r="CG79" s="275">
        <v>8.4603329999999985</v>
      </c>
    </row>
    <row r="80" spans="1:85" s="227" customFormat="1" x14ac:dyDescent="0.25">
      <c r="A80" s="227" t="s">
        <v>140</v>
      </c>
      <c r="B80" s="227" t="s">
        <v>75</v>
      </c>
      <c r="C80" s="227" t="s">
        <v>160</v>
      </c>
      <c r="D80" s="227" t="s">
        <v>84</v>
      </c>
      <c r="E80" s="227">
        <v>1</v>
      </c>
      <c r="F80" s="228" t="s">
        <v>165</v>
      </c>
      <c r="G80" s="228" t="s">
        <v>166</v>
      </c>
      <c r="H80" s="229">
        <v>44536</v>
      </c>
      <c r="I80" s="230">
        <v>0.4236111111111111</v>
      </c>
      <c r="J80" s="231">
        <v>8.6</v>
      </c>
      <c r="K80" s="232">
        <v>7.56</v>
      </c>
      <c r="L80" s="228">
        <v>34.1</v>
      </c>
      <c r="M80" s="228">
        <v>52.5</v>
      </c>
      <c r="N80" s="233">
        <v>-28.334599999999966</v>
      </c>
      <c r="O80" s="228">
        <v>3.8</v>
      </c>
      <c r="P80" s="234">
        <v>9675206852.248394</v>
      </c>
      <c r="Q80" s="235">
        <v>170.93333333333334</v>
      </c>
      <c r="R80" s="236">
        <v>7.4666666666666668</v>
      </c>
      <c r="S80" s="237">
        <v>3.7333333333333334</v>
      </c>
      <c r="T80" s="238">
        <v>183.82222222222222</v>
      </c>
      <c r="U80" s="239">
        <v>22.751680828623929</v>
      </c>
      <c r="V80" s="236">
        <v>21.28090776536818</v>
      </c>
      <c r="W80" s="240">
        <f t="shared" si="5"/>
        <v>51.670096070000781</v>
      </c>
      <c r="X80" s="232">
        <v>5848.08</v>
      </c>
      <c r="Y80" s="228">
        <v>11.18</v>
      </c>
      <c r="Z80" s="228">
        <v>0.14000000000000001</v>
      </c>
      <c r="AA80" s="228">
        <v>4.43</v>
      </c>
      <c r="AB80" s="228">
        <v>16.41</v>
      </c>
      <c r="AC80" s="228">
        <v>8.8000000000000007</v>
      </c>
      <c r="AD80" s="228">
        <v>13336.99</v>
      </c>
      <c r="AE80" s="228">
        <v>158.46</v>
      </c>
      <c r="AF80" s="228">
        <v>9.8000000000000007</v>
      </c>
      <c r="AG80" s="228">
        <v>12.63</v>
      </c>
      <c r="AH80" s="228" t="s">
        <v>348</v>
      </c>
      <c r="AI80" s="228">
        <v>24.34</v>
      </c>
      <c r="AJ80" s="228">
        <v>53.35</v>
      </c>
      <c r="AK80" s="231">
        <v>0.06</v>
      </c>
      <c r="AL80" s="241">
        <v>0</v>
      </c>
      <c r="AM80" s="231">
        <v>2.06</v>
      </c>
      <c r="AN80" s="231">
        <v>18.97</v>
      </c>
      <c r="AO80" s="231">
        <v>153.30000000000001</v>
      </c>
      <c r="AP80" s="231">
        <v>86.57</v>
      </c>
      <c r="AQ80" s="242">
        <v>42.393464654019937</v>
      </c>
      <c r="AR80" s="313">
        <v>8.9999999999999993E-3</v>
      </c>
      <c r="AS80" s="312" t="s">
        <v>290</v>
      </c>
      <c r="AT80" s="312" t="s">
        <v>291</v>
      </c>
      <c r="AU80" s="312" t="s">
        <v>292</v>
      </c>
      <c r="AV80" s="312" t="s">
        <v>293</v>
      </c>
      <c r="AW80" s="312" t="s">
        <v>294</v>
      </c>
      <c r="AX80" s="312" t="s">
        <v>295</v>
      </c>
      <c r="AY80" s="312" t="s">
        <v>257</v>
      </c>
      <c r="AZ80" s="312" t="s">
        <v>296</v>
      </c>
      <c r="BA80" s="312" t="s">
        <v>297</v>
      </c>
      <c r="BB80" s="312" t="s">
        <v>298</v>
      </c>
      <c r="BC80" s="312" t="s">
        <v>261</v>
      </c>
      <c r="BD80" s="312" t="s">
        <v>299</v>
      </c>
      <c r="BE80" s="312" t="s">
        <v>300</v>
      </c>
      <c r="BF80" s="313">
        <v>6.8000000000000005E-2</v>
      </c>
      <c r="BG80" s="312" t="s">
        <v>264</v>
      </c>
      <c r="BH80" s="312" t="s">
        <v>268</v>
      </c>
      <c r="BI80" s="312" t="s">
        <v>261</v>
      </c>
      <c r="BJ80" s="312" t="s">
        <v>267</v>
      </c>
      <c r="BK80" s="312" t="s">
        <v>264</v>
      </c>
      <c r="BL80" s="312" t="s">
        <v>301</v>
      </c>
      <c r="BM80" s="312" t="s">
        <v>267</v>
      </c>
      <c r="BN80" s="312" t="s">
        <v>302</v>
      </c>
      <c r="BO80" s="312" t="s">
        <v>303</v>
      </c>
      <c r="BP80" s="313">
        <v>0.01</v>
      </c>
      <c r="BQ80" s="312" t="s">
        <v>268</v>
      </c>
      <c r="BR80" s="312" t="s">
        <v>254</v>
      </c>
      <c r="BS80" s="312" t="s">
        <v>250</v>
      </c>
      <c r="BT80" s="312" t="s">
        <v>302</v>
      </c>
      <c r="BU80" s="313">
        <v>0.03</v>
      </c>
      <c r="BV80" s="312" t="s">
        <v>269</v>
      </c>
      <c r="BW80" s="312" t="s">
        <v>265</v>
      </c>
      <c r="BX80" s="312" t="s">
        <v>304</v>
      </c>
      <c r="BY80" s="312" t="s">
        <v>305</v>
      </c>
      <c r="BZ80" s="312" t="s">
        <v>254</v>
      </c>
      <c r="CA80" s="227">
        <v>49.922996259818333</v>
      </c>
      <c r="CB80" s="243">
        <v>2.4860000000000002</v>
      </c>
      <c r="CC80" s="244">
        <v>10.581</v>
      </c>
      <c r="CD80" s="245">
        <v>133.86500000000001</v>
      </c>
      <c r="CE80" s="243">
        <v>5.7698309999999999</v>
      </c>
      <c r="CF80" s="244">
        <v>68.995127999999994</v>
      </c>
      <c r="CG80" s="245">
        <v>25.235039999999998</v>
      </c>
    </row>
    <row r="81" spans="1:85" s="227" customFormat="1" x14ac:dyDescent="0.25">
      <c r="A81" s="227" t="s">
        <v>141</v>
      </c>
      <c r="B81" s="227" t="s">
        <v>75</v>
      </c>
      <c r="C81" s="227" t="s">
        <v>160</v>
      </c>
      <c r="D81" s="227" t="s">
        <v>84</v>
      </c>
      <c r="E81" s="227">
        <v>2</v>
      </c>
      <c r="F81" s="246" t="s">
        <v>165</v>
      </c>
      <c r="G81" s="246" t="s">
        <v>166</v>
      </c>
      <c r="H81" s="247">
        <v>44536</v>
      </c>
      <c r="I81" s="248">
        <v>0.42708333333333331</v>
      </c>
      <c r="J81" s="249">
        <v>8.5</v>
      </c>
      <c r="K81" s="250">
        <v>7.65</v>
      </c>
      <c r="L81" s="246">
        <v>33.1</v>
      </c>
      <c r="M81" s="246">
        <v>51.2</v>
      </c>
      <c r="N81" s="251">
        <v>-33.355250000000012</v>
      </c>
      <c r="O81" s="246">
        <v>18</v>
      </c>
      <c r="P81" s="252">
        <v>4977552462.5267677</v>
      </c>
      <c r="Q81" s="253">
        <v>71.333333333333329</v>
      </c>
      <c r="R81" s="254">
        <v>1.4666666666666666</v>
      </c>
      <c r="S81" s="255">
        <v>0.4</v>
      </c>
      <c r="T81" s="256">
        <v>74.000000000000014</v>
      </c>
      <c r="U81" s="257">
        <v>19.561401163775052</v>
      </c>
      <c r="V81" s="254">
        <v>17.783020180646286</v>
      </c>
      <c r="W81" s="258">
        <f t="shared" si="5"/>
        <v>52.381053071792252</v>
      </c>
      <c r="X81" s="250">
        <v>6259.04</v>
      </c>
      <c r="Y81" s="246">
        <v>13.66</v>
      </c>
      <c r="Z81" s="246">
        <v>0.12</v>
      </c>
      <c r="AA81" s="246">
        <v>4.9800000000000004</v>
      </c>
      <c r="AB81" s="246">
        <v>18.57</v>
      </c>
      <c r="AC81" s="246">
        <v>9.24</v>
      </c>
      <c r="AD81" s="246">
        <v>16028.19</v>
      </c>
      <c r="AE81" s="246">
        <v>181.62</v>
      </c>
      <c r="AF81" s="246">
        <v>11.38</v>
      </c>
      <c r="AG81" s="246">
        <v>13.67</v>
      </c>
      <c r="AH81" s="246" t="s">
        <v>352</v>
      </c>
      <c r="AI81" s="246">
        <v>27.73</v>
      </c>
      <c r="AJ81" s="246">
        <v>56.43</v>
      </c>
      <c r="AK81" s="249">
        <v>0.06</v>
      </c>
      <c r="AL81" s="259">
        <v>2.0699999999999998</v>
      </c>
      <c r="AM81" s="249">
        <v>0.84</v>
      </c>
      <c r="AN81" s="249">
        <v>3.55</v>
      </c>
      <c r="AO81" s="249">
        <v>149.16</v>
      </c>
      <c r="AP81" s="249">
        <v>43.37</v>
      </c>
      <c r="AQ81" s="260">
        <v>32.905179562027122</v>
      </c>
      <c r="AR81" s="313">
        <v>8.9999999999999993E-3</v>
      </c>
      <c r="AS81" s="312" t="s">
        <v>290</v>
      </c>
      <c r="AT81" s="312" t="s">
        <v>291</v>
      </c>
      <c r="AU81" s="312" t="s">
        <v>292</v>
      </c>
      <c r="AV81" s="312" t="s">
        <v>293</v>
      </c>
      <c r="AW81" s="312" t="s">
        <v>294</v>
      </c>
      <c r="AX81" s="312" t="s">
        <v>295</v>
      </c>
      <c r="AY81" s="312" t="s">
        <v>257</v>
      </c>
      <c r="AZ81" s="312" t="s">
        <v>296</v>
      </c>
      <c r="BA81" s="312" t="s">
        <v>297</v>
      </c>
      <c r="BB81" s="312" t="s">
        <v>298</v>
      </c>
      <c r="BC81" s="312" t="s">
        <v>261</v>
      </c>
      <c r="BD81" s="312" t="s">
        <v>299</v>
      </c>
      <c r="BE81" s="312" t="s">
        <v>300</v>
      </c>
      <c r="BF81" s="313">
        <v>6.8000000000000005E-2</v>
      </c>
      <c r="BG81" s="312" t="s">
        <v>264</v>
      </c>
      <c r="BH81" s="312" t="s">
        <v>268</v>
      </c>
      <c r="BI81" s="312" t="s">
        <v>261</v>
      </c>
      <c r="BJ81" s="312" t="s">
        <v>267</v>
      </c>
      <c r="BK81" s="312" t="s">
        <v>264</v>
      </c>
      <c r="BL81" s="312" t="s">
        <v>301</v>
      </c>
      <c r="BM81" s="312" t="s">
        <v>267</v>
      </c>
      <c r="BN81" s="312" t="s">
        <v>302</v>
      </c>
      <c r="BO81" s="312" t="s">
        <v>303</v>
      </c>
      <c r="BP81" s="313">
        <v>0.01</v>
      </c>
      <c r="BQ81" s="312" t="s">
        <v>268</v>
      </c>
      <c r="BR81" s="312" t="s">
        <v>254</v>
      </c>
      <c r="BS81" s="312" t="s">
        <v>250</v>
      </c>
      <c r="BT81" s="312" t="s">
        <v>302</v>
      </c>
      <c r="BU81" s="313">
        <v>0.03</v>
      </c>
      <c r="BV81" s="312" t="s">
        <v>269</v>
      </c>
      <c r="BW81" s="312" t="s">
        <v>265</v>
      </c>
      <c r="BX81" s="312" t="s">
        <v>304</v>
      </c>
      <c r="BY81" s="312" t="s">
        <v>305</v>
      </c>
      <c r="BZ81" s="312" t="s">
        <v>254</v>
      </c>
      <c r="CA81" s="227">
        <v>41.928195423491218</v>
      </c>
      <c r="CB81" s="261">
        <v>2.1789999999999998</v>
      </c>
      <c r="CC81" s="262">
        <v>10.157</v>
      </c>
      <c r="CD81" s="258">
        <v>121.43899999999999</v>
      </c>
      <c r="CE81" s="261">
        <v>7.2951819999999996</v>
      </c>
      <c r="CF81" s="262">
        <v>66.364940000000004</v>
      </c>
      <c r="CG81" s="258">
        <v>26.339876000000004</v>
      </c>
    </row>
    <row r="82" spans="1:85" s="227" customFormat="1" ht="15.75" thickBot="1" x14ac:dyDescent="0.3">
      <c r="A82" s="227" t="s">
        <v>142</v>
      </c>
      <c r="B82" s="227" t="s">
        <v>75</v>
      </c>
      <c r="C82" s="227" t="s">
        <v>160</v>
      </c>
      <c r="D82" s="227" t="s">
        <v>84</v>
      </c>
      <c r="E82" s="227">
        <v>3</v>
      </c>
      <c r="F82" s="263" t="s">
        <v>165</v>
      </c>
      <c r="G82" s="263" t="s">
        <v>166</v>
      </c>
      <c r="H82" s="264">
        <v>44536</v>
      </c>
      <c r="I82" s="265">
        <v>0.4291666666666667</v>
      </c>
      <c r="J82" s="266">
        <v>8.1999999999999993</v>
      </c>
      <c r="K82" s="267">
        <v>7.61</v>
      </c>
      <c r="L82" s="263">
        <v>34.1</v>
      </c>
      <c r="M82" s="263">
        <v>52.7</v>
      </c>
      <c r="N82" s="268">
        <v>-31.123850000000004</v>
      </c>
      <c r="O82" s="263">
        <v>3.1</v>
      </c>
      <c r="P82" s="269">
        <v>5702050535.3319063</v>
      </c>
      <c r="Q82" s="270">
        <v>100.8</v>
      </c>
      <c r="R82" s="271">
        <v>4</v>
      </c>
      <c r="S82" s="272">
        <v>3.4666666666666668</v>
      </c>
      <c r="T82" s="273">
        <v>109.15555555555555</v>
      </c>
      <c r="U82" s="274">
        <v>13.324692747592572</v>
      </c>
      <c r="V82" s="271">
        <v>14.088609148467944</v>
      </c>
      <c r="W82" s="275">
        <f t="shared" si="5"/>
        <v>48.606668390820232</v>
      </c>
      <c r="X82" s="267">
        <v>5807.87</v>
      </c>
      <c r="Y82" s="263">
        <v>10.48</v>
      </c>
      <c r="Z82" s="263">
        <v>0.11</v>
      </c>
      <c r="AA82" s="263">
        <v>4.0999999999999996</v>
      </c>
      <c r="AB82" s="263">
        <v>15.43</v>
      </c>
      <c r="AC82" s="263">
        <v>7.71</v>
      </c>
      <c r="AD82" s="263">
        <v>13513.88</v>
      </c>
      <c r="AE82" s="263">
        <v>167.93</v>
      </c>
      <c r="AF82" s="263">
        <v>9.44</v>
      </c>
      <c r="AG82" s="263">
        <v>12.41</v>
      </c>
      <c r="AH82" s="263" t="s">
        <v>350</v>
      </c>
      <c r="AI82" s="263">
        <v>23.03</v>
      </c>
      <c r="AJ82" s="263">
        <v>47.55</v>
      </c>
      <c r="AK82" s="266">
        <v>0.06</v>
      </c>
      <c r="AL82" s="276">
        <v>0.93</v>
      </c>
      <c r="AM82" s="266">
        <v>0.78</v>
      </c>
      <c r="AN82" s="266">
        <v>5.34</v>
      </c>
      <c r="AO82" s="266">
        <v>132.24</v>
      </c>
      <c r="AP82" s="266">
        <v>55.96</v>
      </c>
      <c r="AQ82" s="277">
        <v>27.182808553042779</v>
      </c>
      <c r="AR82" s="313">
        <v>8.9999999999999993E-3</v>
      </c>
      <c r="AS82" s="312" t="s">
        <v>290</v>
      </c>
      <c r="AT82" s="312" t="s">
        <v>291</v>
      </c>
      <c r="AU82" s="312" t="s">
        <v>292</v>
      </c>
      <c r="AV82" s="312" t="s">
        <v>293</v>
      </c>
      <c r="AW82" s="312" t="s">
        <v>294</v>
      </c>
      <c r="AX82" s="312" t="s">
        <v>295</v>
      </c>
      <c r="AY82" s="312" t="s">
        <v>257</v>
      </c>
      <c r="AZ82" s="312" t="s">
        <v>296</v>
      </c>
      <c r="BA82" s="312" t="s">
        <v>297</v>
      </c>
      <c r="BB82" s="312" t="s">
        <v>298</v>
      </c>
      <c r="BC82" s="312" t="s">
        <v>261</v>
      </c>
      <c r="BD82" s="312" t="s">
        <v>299</v>
      </c>
      <c r="BE82" s="312" t="s">
        <v>300</v>
      </c>
      <c r="BF82" s="313">
        <v>6.8000000000000005E-2</v>
      </c>
      <c r="BG82" s="312" t="s">
        <v>264</v>
      </c>
      <c r="BH82" s="312" t="s">
        <v>268</v>
      </c>
      <c r="BI82" s="312" t="s">
        <v>261</v>
      </c>
      <c r="BJ82" s="312" t="s">
        <v>267</v>
      </c>
      <c r="BK82" s="312" t="s">
        <v>264</v>
      </c>
      <c r="BL82" s="312" t="s">
        <v>301</v>
      </c>
      <c r="BM82" s="312" t="s">
        <v>267</v>
      </c>
      <c r="BN82" s="312" t="s">
        <v>302</v>
      </c>
      <c r="BO82" s="312" t="s">
        <v>303</v>
      </c>
      <c r="BP82" s="313">
        <v>0.01</v>
      </c>
      <c r="BQ82" s="312" t="s">
        <v>268</v>
      </c>
      <c r="BR82" s="312" t="s">
        <v>254</v>
      </c>
      <c r="BS82" s="312" t="s">
        <v>250</v>
      </c>
      <c r="BT82" s="312" t="s">
        <v>302</v>
      </c>
      <c r="BU82" s="313">
        <v>0.03</v>
      </c>
      <c r="BV82" s="312" t="s">
        <v>269</v>
      </c>
      <c r="BW82" s="312" t="s">
        <v>265</v>
      </c>
      <c r="BX82" s="312" t="s">
        <v>304</v>
      </c>
      <c r="BY82" s="312" t="s">
        <v>305</v>
      </c>
      <c r="BZ82" s="312" t="s">
        <v>254</v>
      </c>
      <c r="CA82" s="227">
        <v>43.57771807692896</v>
      </c>
      <c r="CB82" s="278">
        <v>2.3330000000000002</v>
      </c>
      <c r="CC82" s="279">
        <v>14.098000000000001</v>
      </c>
      <c r="CD82" s="280">
        <v>146.066</v>
      </c>
      <c r="CE82" s="278">
        <v>6.6426649999999992</v>
      </c>
      <c r="CF82" s="279">
        <v>59.627681000000003</v>
      </c>
      <c r="CG82" s="280">
        <v>33.729655000000001</v>
      </c>
    </row>
    <row r="83" spans="1:85" s="227" customFormat="1" x14ac:dyDescent="0.25">
      <c r="A83" s="227" t="s">
        <v>143</v>
      </c>
      <c r="B83" s="227" t="s">
        <v>76</v>
      </c>
      <c r="C83" s="227" t="s">
        <v>160</v>
      </c>
      <c r="D83" s="227" t="s">
        <v>83</v>
      </c>
      <c r="E83" s="227">
        <v>1</v>
      </c>
      <c r="F83" s="281" t="s">
        <v>167</v>
      </c>
      <c r="G83" s="281" t="s">
        <v>168</v>
      </c>
      <c r="H83" s="229">
        <v>44536</v>
      </c>
      <c r="I83" s="309">
        <v>0.51736111111111105</v>
      </c>
      <c r="J83" s="282">
        <v>8.6</v>
      </c>
      <c r="K83" s="283">
        <v>7.48</v>
      </c>
      <c r="L83" s="281">
        <v>16.5</v>
      </c>
      <c r="M83" s="281">
        <v>26.9</v>
      </c>
      <c r="N83" s="284">
        <v>-23.871800000000007</v>
      </c>
      <c r="O83" s="281">
        <v>9.6999999999999993</v>
      </c>
      <c r="P83" s="285">
        <v>4219159322.0338979</v>
      </c>
      <c r="Q83" s="286">
        <v>18.933333333333334</v>
      </c>
      <c r="R83" s="287">
        <v>0.26666666666666666</v>
      </c>
      <c r="S83" s="288">
        <v>0.33333333333333331</v>
      </c>
      <c r="T83" s="289">
        <v>19.955555555555552</v>
      </c>
      <c r="U83" s="290">
        <v>15.595719809369664</v>
      </c>
      <c r="V83" s="287">
        <v>35.455096041446183</v>
      </c>
      <c r="W83" s="240">
        <f t="shared" si="5"/>
        <v>30.549403666622162</v>
      </c>
      <c r="X83" s="283">
        <v>7169.34</v>
      </c>
      <c r="Y83" s="281">
        <v>17.7</v>
      </c>
      <c r="Z83" s="281">
        <v>0.13</v>
      </c>
      <c r="AA83" s="281">
        <v>10.15</v>
      </c>
      <c r="AB83" s="281">
        <v>29.15</v>
      </c>
      <c r="AC83" s="281">
        <v>22.48</v>
      </c>
      <c r="AD83" s="281">
        <v>26866.62</v>
      </c>
      <c r="AE83" s="281">
        <v>766.13</v>
      </c>
      <c r="AF83" s="281">
        <v>22.43</v>
      </c>
      <c r="AG83" s="281">
        <v>21.24</v>
      </c>
      <c r="AH83" s="281" t="s">
        <v>350</v>
      </c>
      <c r="AI83" s="281">
        <v>42.72</v>
      </c>
      <c r="AJ83" s="281">
        <v>172.92</v>
      </c>
      <c r="AK83" s="282">
        <v>0.1</v>
      </c>
      <c r="AL83" s="291">
        <v>0</v>
      </c>
      <c r="AM83" s="282">
        <v>1.48</v>
      </c>
      <c r="AN83" s="282">
        <v>25.99</v>
      </c>
      <c r="AO83" s="282">
        <v>457.94</v>
      </c>
      <c r="AP83" s="282">
        <v>147.81</v>
      </c>
      <c r="AQ83" s="292">
        <v>35.98804604558606</v>
      </c>
      <c r="AR83" s="312" t="s">
        <v>250</v>
      </c>
      <c r="AS83" s="312" t="s">
        <v>306</v>
      </c>
      <c r="AT83" s="312" t="s">
        <v>307</v>
      </c>
      <c r="AU83" s="312" t="s">
        <v>308</v>
      </c>
      <c r="AV83" s="312" t="s">
        <v>254</v>
      </c>
      <c r="AW83" s="312" t="s">
        <v>291</v>
      </c>
      <c r="AX83" s="312" t="s">
        <v>309</v>
      </c>
      <c r="AY83" s="312" t="s">
        <v>257</v>
      </c>
      <c r="AZ83" s="312" t="s">
        <v>310</v>
      </c>
      <c r="BA83" s="312" t="s">
        <v>259</v>
      </c>
      <c r="BB83" s="312" t="s">
        <v>311</v>
      </c>
      <c r="BC83" s="312" t="s">
        <v>257</v>
      </c>
      <c r="BD83" s="312" t="s">
        <v>312</v>
      </c>
      <c r="BE83" s="312" t="s">
        <v>262</v>
      </c>
      <c r="BF83" s="313">
        <v>8.2000000000000003E-2</v>
      </c>
      <c r="BG83" s="312" t="s">
        <v>271</v>
      </c>
      <c r="BH83" s="312" t="s">
        <v>285</v>
      </c>
      <c r="BI83" s="312" t="s">
        <v>261</v>
      </c>
      <c r="BJ83" s="312" t="s">
        <v>250</v>
      </c>
      <c r="BK83" s="312" t="s">
        <v>264</v>
      </c>
      <c r="BL83" s="312" t="s">
        <v>313</v>
      </c>
      <c r="BM83" s="312" t="s">
        <v>267</v>
      </c>
      <c r="BN83" s="313">
        <v>0.08</v>
      </c>
      <c r="BO83" s="312" t="s">
        <v>314</v>
      </c>
      <c r="BP83" s="313">
        <v>1.7000000000000001E-2</v>
      </c>
      <c r="BQ83" s="312" t="s">
        <v>285</v>
      </c>
      <c r="BR83" s="312" t="s">
        <v>272</v>
      </c>
      <c r="BS83" s="312" t="s">
        <v>264</v>
      </c>
      <c r="BT83" s="312" t="s">
        <v>315</v>
      </c>
      <c r="BU83" s="313">
        <v>5.2999999999999999E-2</v>
      </c>
      <c r="BV83" s="312" t="s">
        <v>287</v>
      </c>
      <c r="BW83" s="313">
        <v>5.0999999999999997E-2</v>
      </c>
      <c r="BX83" s="312" t="s">
        <v>293</v>
      </c>
      <c r="BY83" s="312" t="s">
        <v>316</v>
      </c>
      <c r="BZ83" s="312" t="s">
        <v>269</v>
      </c>
      <c r="CA83" s="227">
        <v>58.040574722741425</v>
      </c>
      <c r="CB83" s="293">
        <v>1.7609999999999999</v>
      </c>
      <c r="CC83" s="294">
        <v>7.7910000000000004</v>
      </c>
      <c r="CD83" s="240">
        <v>54.716999999999999</v>
      </c>
      <c r="CE83" s="293">
        <v>10.312037</v>
      </c>
      <c r="CF83" s="294">
        <v>78.266147000000004</v>
      </c>
      <c r="CG83" s="240">
        <v>11.421816</v>
      </c>
    </row>
    <row r="84" spans="1:85" s="227" customFormat="1" x14ac:dyDescent="0.25">
      <c r="A84" s="227" t="s">
        <v>144</v>
      </c>
      <c r="B84" s="227" t="s">
        <v>76</v>
      </c>
      <c r="C84" s="227" t="s">
        <v>160</v>
      </c>
      <c r="D84" s="227" t="s">
        <v>83</v>
      </c>
      <c r="E84" s="227">
        <v>2</v>
      </c>
      <c r="F84" s="246" t="s">
        <v>167</v>
      </c>
      <c r="G84" s="246" t="s">
        <v>168</v>
      </c>
      <c r="H84" s="247">
        <v>44536</v>
      </c>
      <c r="I84" s="248">
        <v>0.5229166666666667</v>
      </c>
      <c r="J84" s="249">
        <v>8.6</v>
      </c>
      <c r="K84" s="250">
        <v>7.37</v>
      </c>
      <c r="L84" s="246">
        <v>16.100000000000001</v>
      </c>
      <c r="M84" s="246">
        <v>26.8</v>
      </c>
      <c r="N84" s="251">
        <v>-17.735450000000014</v>
      </c>
      <c r="O84" s="246">
        <v>8.8000000000000007</v>
      </c>
      <c r="P84" s="252">
        <v>3033559322.0338984</v>
      </c>
      <c r="Q84" s="253">
        <v>8.1999999999999993</v>
      </c>
      <c r="R84" s="254">
        <v>0.6</v>
      </c>
      <c r="S84" s="255">
        <v>0.13333333333333333</v>
      </c>
      <c r="T84" s="256">
        <v>9.0444444444444425</v>
      </c>
      <c r="U84" s="257">
        <v>40.282728253511181</v>
      </c>
      <c r="V84" s="254">
        <v>52.029009975386799</v>
      </c>
      <c r="W84" s="258">
        <f t="shared" si="5"/>
        <v>43.637709598345275</v>
      </c>
      <c r="X84" s="250">
        <v>7237.15</v>
      </c>
      <c r="Y84" s="246">
        <v>16.7</v>
      </c>
      <c r="Z84" s="246">
        <v>0.11</v>
      </c>
      <c r="AA84" s="246">
        <v>9.1</v>
      </c>
      <c r="AB84" s="246">
        <v>28.91</v>
      </c>
      <c r="AC84" s="246">
        <v>15.95</v>
      </c>
      <c r="AD84" s="246">
        <v>26445.88</v>
      </c>
      <c r="AE84" s="246">
        <v>512.16</v>
      </c>
      <c r="AF84" s="246">
        <v>21.76</v>
      </c>
      <c r="AG84" s="246">
        <v>19.88</v>
      </c>
      <c r="AH84" s="246" t="s">
        <v>350</v>
      </c>
      <c r="AI84" s="246">
        <v>43.91</v>
      </c>
      <c r="AJ84" s="246">
        <v>97.07</v>
      </c>
      <c r="AK84" s="249">
        <v>0.1</v>
      </c>
      <c r="AL84" s="259">
        <v>0</v>
      </c>
      <c r="AM84" s="249">
        <v>1.24</v>
      </c>
      <c r="AN84" s="249">
        <v>33.31</v>
      </c>
      <c r="AO84" s="249">
        <v>453.07</v>
      </c>
      <c r="AP84" s="249">
        <v>136.57</v>
      </c>
      <c r="AQ84" s="260">
        <v>33.377888711086257</v>
      </c>
      <c r="AR84" s="312" t="s">
        <v>250</v>
      </c>
      <c r="AS84" s="312" t="s">
        <v>306</v>
      </c>
      <c r="AT84" s="312" t="s">
        <v>307</v>
      </c>
      <c r="AU84" s="312" t="s">
        <v>308</v>
      </c>
      <c r="AV84" s="312" t="s">
        <v>254</v>
      </c>
      <c r="AW84" s="312" t="s">
        <v>291</v>
      </c>
      <c r="AX84" s="312" t="s">
        <v>309</v>
      </c>
      <c r="AY84" s="312" t="s">
        <v>257</v>
      </c>
      <c r="AZ84" s="312" t="s">
        <v>310</v>
      </c>
      <c r="BA84" s="312" t="s">
        <v>259</v>
      </c>
      <c r="BB84" s="312" t="s">
        <v>311</v>
      </c>
      <c r="BC84" s="312" t="s">
        <v>257</v>
      </c>
      <c r="BD84" s="312" t="s">
        <v>312</v>
      </c>
      <c r="BE84" s="312" t="s">
        <v>262</v>
      </c>
      <c r="BF84" s="313">
        <v>8.2000000000000003E-2</v>
      </c>
      <c r="BG84" s="312" t="s">
        <v>271</v>
      </c>
      <c r="BH84" s="312" t="s">
        <v>285</v>
      </c>
      <c r="BI84" s="312" t="s">
        <v>261</v>
      </c>
      <c r="BJ84" s="312" t="s">
        <v>250</v>
      </c>
      <c r="BK84" s="312" t="s">
        <v>264</v>
      </c>
      <c r="BL84" s="312" t="s">
        <v>313</v>
      </c>
      <c r="BM84" s="312" t="s">
        <v>267</v>
      </c>
      <c r="BN84" s="313">
        <v>0.08</v>
      </c>
      <c r="BO84" s="312" t="s">
        <v>314</v>
      </c>
      <c r="BP84" s="313">
        <v>1.7000000000000001E-2</v>
      </c>
      <c r="BQ84" s="312" t="s">
        <v>285</v>
      </c>
      <c r="BR84" s="312" t="s">
        <v>272</v>
      </c>
      <c r="BS84" s="312" t="s">
        <v>264</v>
      </c>
      <c r="BT84" s="312" t="s">
        <v>315</v>
      </c>
      <c r="BU84" s="313">
        <v>5.2999999999999999E-2</v>
      </c>
      <c r="BV84" s="312" t="s">
        <v>287</v>
      </c>
      <c r="BW84" s="313">
        <v>5.0999999999999997E-2</v>
      </c>
      <c r="BX84" s="312" t="s">
        <v>293</v>
      </c>
      <c r="BY84" s="312" t="s">
        <v>316</v>
      </c>
      <c r="BZ84" s="312" t="s">
        <v>269</v>
      </c>
      <c r="CA84" s="227">
        <v>69.348893080375575</v>
      </c>
      <c r="CB84" s="261">
        <v>1.7949999999999999</v>
      </c>
      <c r="CC84" s="262">
        <v>7.11</v>
      </c>
      <c r="CD84" s="258">
        <v>27.463999999999999</v>
      </c>
      <c r="CE84" s="261">
        <v>10.000335</v>
      </c>
      <c r="CF84" s="262">
        <v>85.976727000000011</v>
      </c>
      <c r="CG84" s="258">
        <v>4.0229349999999995</v>
      </c>
    </row>
    <row r="85" spans="1:85" s="227" customFormat="1" ht="15.75" thickBot="1" x14ac:dyDescent="0.3">
      <c r="A85" s="227" t="s">
        <v>145</v>
      </c>
      <c r="B85" s="227" t="s">
        <v>76</v>
      </c>
      <c r="C85" s="227" t="s">
        <v>160</v>
      </c>
      <c r="D85" s="227" t="s">
        <v>83</v>
      </c>
      <c r="E85" s="227">
        <v>3</v>
      </c>
      <c r="F85" s="295" t="s">
        <v>167</v>
      </c>
      <c r="G85" s="295" t="s">
        <v>168</v>
      </c>
      <c r="H85" s="264">
        <v>44536</v>
      </c>
      <c r="I85" s="310">
        <v>0.52986111111111112</v>
      </c>
      <c r="J85" s="296">
        <v>8.6</v>
      </c>
      <c r="K85" s="297">
        <v>7.89</v>
      </c>
      <c r="L85" s="295">
        <v>10.4</v>
      </c>
      <c r="M85" s="295">
        <v>17.89</v>
      </c>
      <c r="N85" s="298">
        <v>-46.743650000000002</v>
      </c>
      <c r="O85" s="295">
        <v>10</v>
      </c>
      <c r="P85" s="299">
        <v>2604223728.8135591</v>
      </c>
      <c r="Q85" s="300">
        <v>9.0666666666666664</v>
      </c>
      <c r="R85" s="301">
        <v>0.4</v>
      </c>
      <c r="S85" s="302">
        <v>0.26666666666666666</v>
      </c>
      <c r="T85" s="303">
        <v>10.111111111111111</v>
      </c>
      <c r="U85" s="304">
        <v>18.734095885431195</v>
      </c>
      <c r="V85" s="301">
        <v>27.733578889935892</v>
      </c>
      <c r="W85" s="275">
        <f t="shared" si="5"/>
        <v>40.316404847014851</v>
      </c>
      <c r="X85" s="297">
        <v>7240.47</v>
      </c>
      <c r="Y85" s="295">
        <v>18.97</v>
      </c>
      <c r="Z85" s="295">
        <v>0.15</v>
      </c>
      <c r="AA85" s="295">
        <v>10.199999999999999</v>
      </c>
      <c r="AB85" s="295">
        <v>29.77</v>
      </c>
      <c r="AC85" s="295">
        <v>16.13</v>
      </c>
      <c r="AD85" s="295">
        <v>28683.73</v>
      </c>
      <c r="AE85" s="295">
        <v>528.79</v>
      </c>
      <c r="AF85" s="295">
        <v>23.1</v>
      </c>
      <c r="AG85" s="295">
        <v>19.75</v>
      </c>
      <c r="AH85" s="295" t="s">
        <v>348</v>
      </c>
      <c r="AI85" s="295">
        <v>46.56</v>
      </c>
      <c r="AJ85" s="295">
        <v>101.73</v>
      </c>
      <c r="AK85" s="296">
        <v>0.1</v>
      </c>
      <c r="AL85" s="305">
        <v>0</v>
      </c>
      <c r="AM85" s="296">
        <v>0.47</v>
      </c>
      <c r="AN85" s="296">
        <v>17.98</v>
      </c>
      <c r="AO85" s="296">
        <v>448.28</v>
      </c>
      <c r="AP85" s="296">
        <v>135.44999999999999</v>
      </c>
      <c r="AQ85" s="306">
        <v>43.043960546085373</v>
      </c>
      <c r="AR85" s="312" t="s">
        <v>250</v>
      </c>
      <c r="AS85" s="312" t="s">
        <v>306</v>
      </c>
      <c r="AT85" s="312" t="s">
        <v>307</v>
      </c>
      <c r="AU85" s="312" t="s">
        <v>308</v>
      </c>
      <c r="AV85" s="312" t="s">
        <v>254</v>
      </c>
      <c r="AW85" s="312" t="s">
        <v>291</v>
      </c>
      <c r="AX85" s="312" t="s">
        <v>309</v>
      </c>
      <c r="AY85" s="312" t="s">
        <v>257</v>
      </c>
      <c r="AZ85" s="312" t="s">
        <v>310</v>
      </c>
      <c r="BA85" s="312" t="s">
        <v>259</v>
      </c>
      <c r="BB85" s="312" t="s">
        <v>311</v>
      </c>
      <c r="BC85" s="312" t="s">
        <v>257</v>
      </c>
      <c r="BD85" s="312" t="s">
        <v>312</v>
      </c>
      <c r="BE85" s="312" t="s">
        <v>262</v>
      </c>
      <c r="BF85" s="313">
        <v>8.2000000000000003E-2</v>
      </c>
      <c r="BG85" s="312" t="s">
        <v>271</v>
      </c>
      <c r="BH85" s="312" t="s">
        <v>285</v>
      </c>
      <c r="BI85" s="312" t="s">
        <v>261</v>
      </c>
      <c r="BJ85" s="312" t="s">
        <v>250</v>
      </c>
      <c r="BK85" s="312" t="s">
        <v>264</v>
      </c>
      <c r="BL85" s="312" t="s">
        <v>313</v>
      </c>
      <c r="BM85" s="312" t="s">
        <v>267</v>
      </c>
      <c r="BN85" s="313">
        <v>0.08</v>
      </c>
      <c r="BO85" s="312" t="s">
        <v>314</v>
      </c>
      <c r="BP85" s="313">
        <v>1.7000000000000001E-2</v>
      </c>
      <c r="BQ85" s="312" t="s">
        <v>285</v>
      </c>
      <c r="BR85" s="312" t="s">
        <v>272</v>
      </c>
      <c r="BS85" s="312" t="s">
        <v>264</v>
      </c>
      <c r="BT85" s="312" t="s">
        <v>315</v>
      </c>
      <c r="BU85" s="313">
        <v>5.2999999999999999E-2</v>
      </c>
      <c r="BV85" s="312" t="s">
        <v>287</v>
      </c>
      <c r="BW85" s="313">
        <v>5.0999999999999997E-2</v>
      </c>
      <c r="BX85" s="312" t="s">
        <v>293</v>
      </c>
      <c r="BY85" s="312" t="s">
        <v>316</v>
      </c>
      <c r="BZ85" s="312" t="s">
        <v>269</v>
      </c>
      <c r="CA85" s="227">
        <v>59.904303411025651</v>
      </c>
      <c r="CB85" s="307">
        <v>1.768</v>
      </c>
      <c r="CC85" s="308">
        <v>8.6890000000000001</v>
      </c>
      <c r="CD85" s="275">
        <v>97.85</v>
      </c>
      <c r="CE85" s="307">
        <v>10.241710999999999</v>
      </c>
      <c r="CF85" s="308">
        <v>73.913160999999988</v>
      </c>
      <c r="CG85" s="275">
        <v>15.845130000000003</v>
      </c>
    </row>
    <row r="86" spans="1:85" s="227" customFormat="1" x14ac:dyDescent="0.25">
      <c r="A86" s="227" t="s">
        <v>146</v>
      </c>
      <c r="B86" s="227" t="s">
        <v>77</v>
      </c>
      <c r="C86" s="227" t="s">
        <v>160</v>
      </c>
      <c r="D86" s="227" t="s">
        <v>84</v>
      </c>
      <c r="E86" s="227">
        <v>1</v>
      </c>
      <c r="F86" s="228" t="s">
        <v>169</v>
      </c>
      <c r="G86" s="228" t="s">
        <v>170</v>
      </c>
      <c r="H86" s="229">
        <v>44537</v>
      </c>
      <c r="I86" s="230">
        <v>0.47916666666666669</v>
      </c>
      <c r="J86" s="231">
        <v>8.6999999999999993</v>
      </c>
      <c r="K86" s="232">
        <v>7.59</v>
      </c>
      <c r="L86" s="228">
        <v>33.1</v>
      </c>
      <c r="M86" s="228">
        <v>51.5</v>
      </c>
      <c r="N86" s="233">
        <v>-30.008150000000001</v>
      </c>
      <c r="O86" s="228">
        <v>10</v>
      </c>
      <c r="P86" s="234">
        <v>4128311602.2099447</v>
      </c>
      <c r="Q86" s="235">
        <v>67.333333333333329</v>
      </c>
      <c r="R86" s="236">
        <v>0.93333333333333335</v>
      </c>
      <c r="S86" s="237">
        <v>1.3333333333333333</v>
      </c>
      <c r="T86" s="238">
        <v>72.266666666666666</v>
      </c>
      <c r="U86" s="239">
        <v>9.7357637416984577</v>
      </c>
      <c r="V86" s="236">
        <v>13.736763730829008</v>
      </c>
      <c r="W86" s="240">
        <f t="shared" si="5"/>
        <v>41.47727062240449</v>
      </c>
      <c r="X86" s="232">
        <v>7195.43</v>
      </c>
      <c r="Y86" s="228">
        <v>15.1</v>
      </c>
      <c r="Z86" s="228">
        <v>0.09</v>
      </c>
      <c r="AA86" s="228">
        <v>6.99</v>
      </c>
      <c r="AB86" s="228">
        <v>22.06</v>
      </c>
      <c r="AC86" s="228">
        <v>10.98</v>
      </c>
      <c r="AD86" s="228">
        <v>20882.97</v>
      </c>
      <c r="AE86" s="228">
        <v>244.15</v>
      </c>
      <c r="AF86" s="228">
        <v>15.47</v>
      </c>
      <c r="AG86" s="228">
        <v>21.04</v>
      </c>
      <c r="AH86" s="228" t="s">
        <v>350</v>
      </c>
      <c r="AI86" s="228">
        <v>29.69</v>
      </c>
      <c r="AJ86" s="228">
        <v>77.53</v>
      </c>
      <c r="AK86" s="231">
        <v>0.09</v>
      </c>
      <c r="AL86" s="241">
        <v>0</v>
      </c>
      <c r="AM86" s="231">
        <v>2.64</v>
      </c>
      <c r="AN86" s="231">
        <v>17.73</v>
      </c>
      <c r="AO86" s="231">
        <v>77.63</v>
      </c>
      <c r="AP86" s="231">
        <v>130.58000000000001</v>
      </c>
      <c r="AQ86" s="242">
        <v>27.713676831645056</v>
      </c>
      <c r="AR86" s="312" t="s">
        <v>250</v>
      </c>
      <c r="AS86" s="312" t="s">
        <v>317</v>
      </c>
      <c r="AT86" s="312" t="s">
        <v>318</v>
      </c>
      <c r="AU86" s="312" t="s">
        <v>319</v>
      </c>
      <c r="AV86" s="312" t="s">
        <v>293</v>
      </c>
      <c r="AW86" s="312" t="s">
        <v>280</v>
      </c>
      <c r="AX86" s="312" t="s">
        <v>320</v>
      </c>
      <c r="AY86" s="312" t="s">
        <v>257</v>
      </c>
      <c r="AZ86" s="312" t="s">
        <v>321</v>
      </c>
      <c r="BA86" s="312" t="s">
        <v>322</v>
      </c>
      <c r="BB86" s="312" t="s">
        <v>323</v>
      </c>
      <c r="BC86" s="312" t="s">
        <v>261</v>
      </c>
      <c r="BD86" s="313">
        <v>6.3E-2</v>
      </c>
      <c r="BE86" s="312" t="s">
        <v>299</v>
      </c>
      <c r="BF86" s="313">
        <v>0.14699999999999999</v>
      </c>
      <c r="BG86" s="312" t="s">
        <v>264</v>
      </c>
      <c r="BH86" s="312" t="s">
        <v>314</v>
      </c>
      <c r="BI86" s="312" t="s">
        <v>261</v>
      </c>
      <c r="BJ86" s="312" t="s">
        <v>250</v>
      </c>
      <c r="BK86" s="312" t="s">
        <v>264</v>
      </c>
      <c r="BL86" s="312" t="s">
        <v>324</v>
      </c>
      <c r="BM86" s="312" t="s">
        <v>267</v>
      </c>
      <c r="BN86" s="313">
        <v>0.14299999999999999</v>
      </c>
      <c r="BO86" s="312" t="s">
        <v>303</v>
      </c>
      <c r="BP86" s="313">
        <v>4.2000000000000003E-2</v>
      </c>
      <c r="BQ86" s="313">
        <v>3.9E-2</v>
      </c>
      <c r="BR86" s="312" t="s">
        <v>269</v>
      </c>
      <c r="BS86" s="312" t="s">
        <v>250</v>
      </c>
      <c r="BT86" s="312" t="s">
        <v>325</v>
      </c>
      <c r="BU86" s="313">
        <v>9.1999999999999998E-2</v>
      </c>
      <c r="BV86" s="312" t="s">
        <v>272</v>
      </c>
      <c r="BW86" s="313">
        <v>0.155</v>
      </c>
      <c r="BX86" s="312" t="s">
        <v>274</v>
      </c>
      <c r="BY86" s="312" t="s">
        <v>326</v>
      </c>
      <c r="BZ86" s="312" t="s">
        <v>254</v>
      </c>
      <c r="CA86" s="227">
        <v>48.510019036645204</v>
      </c>
      <c r="CB86" s="243">
        <v>2.1640000000000001</v>
      </c>
      <c r="CC86" s="244">
        <v>12.18</v>
      </c>
      <c r="CD86" s="245">
        <v>130.864</v>
      </c>
      <c r="CE86" s="243">
        <v>7.3128170000000008</v>
      </c>
      <c r="CF86" s="244">
        <v>63.767314999999989</v>
      </c>
      <c r="CG86" s="245">
        <v>28.919865000000001</v>
      </c>
    </row>
    <row r="87" spans="1:85" s="227" customFormat="1" x14ac:dyDescent="0.25">
      <c r="A87" s="227" t="s">
        <v>147</v>
      </c>
      <c r="B87" s="227" t="s">
        <v>77</v>
      </c>
      <c r="C87" s="227" t="s">
        <v>160</v>
      </c>
      <c r="D87" s="227" t="s">
        <v>84</v>
      </c>
      <c r="E87" s="227">
        <v>2</v>
      </c>
      <c r="F87" s="246" t="s">
        <v>169</v>
      </c>
      <c r="G87" s="246" t="s">
        <v>170</v>
      </c>
      <c r="H87" s="247">
        <v>44537</v>
      </c>
      <c r="I87" s="248">
        <v>0.48472222222222222</v>
      </c>
      <c r="J87" s="249">
        <v>8.6999999999999993</v>
      </c>
      <c r="K87" s="250">
        <v>7.55</v>
      </c>
      <c r="L87" s="246">
        <v>32.700000000000003</v>
      </c>
      <c r="M87" s="246">
        <v>51.1</v>
      </c>
      <c r="N87" s="251">
        <v>-27.776749999999993</v>
      </c>
      <c r="O87" s="246">
        <v>3.4</v>
      </c>
      <c r="P87" s="252">
        <v>5236290828.7292814</v>
      </c>
      <c r="Q87" s="253">
        <v>75.2</v>
      </c>
      <c r="R87" s="254">
        <v>1.0666666666666667</v>
      </c>
      <c r="S87" s="255">
        <v>1.4666666666666666</v>
      </c>
      <c r="T87" s="256">
        <v>80.844444444444449</v>
      </c>
      <c r="U87" s="257">
        <v>8.0470753910375681</v>
      </c>
      <c r="V87" s="254">
        <v>17.208031084407885</v>
      </c>
      <c r="W87" s="258">
        <f t="shared" si="5"/>
        <v>31.863161609955686</v>
      </c>
      <c r="X87" s="250">
        <v>6816.04</v>
      </c>
      <c r="Y87" s="246">
        <v>11.06</v>
      </c>
      <c r="Z87" s="246">
        <v>0.09</v>
      </c>
      <c r="AA87" s="246">
        <v>6.53</v>
      </c>
      <c r="AB87" s="246">
        <v>21.25</v>
      </c>
      <c r="AC87" s="246">
        <v>10.78</v>
      </c>
      <c r="AD87" s="246">
        <v>19265.5</v>
      </c>
      <c r="AE87" s="246">
        <v>255.69</v>
      </c>
      <c r="AF87" s="246">
        <v>14.39</v>
      </c>
      <c r="AG87" s="246">
        <v>19.72</v>
      </c>
      <c r="AH87" s="246" t="s">
        <v>349</v>
      </c>
      <c r="AI87" s="246">
        <v>27.79</v>
      </c>
      <c r="AJ87" s="246">
        <v>73.709999999999994</v>
      </c>
      <c r="AK87" s="249">
        <v>0.08</v>
      </c>
      <c r="AL87" s="259">
        <v>0</v>
      </c>
      <c r="AM87" s="249">
        <v>1.68</v>
      </c>
      <c r="AN87" s="249">
        <v>6.65</v>
      </c>
      <c r="AO87" s="249">
        <v>60.48</v>
      </c>
      <c r="AP87" s="249">
        <v>49.6</v>
      </c>
      <c r="AQ87" s="260">
        <v>48.679748464336967</v>
      </c>
      <c r="AR87" s="312" t="s">
        <v>250</v>
      </c>
      <c r="AS87" s="312" t="s">
        <v>317</v>
      </c>
      <c r="AT87" s="312" t="s">
        <v>318</v>
      </c>
      <c r="AU87" s="312" t="s">
        <v>319</v>
      </c>
      <c r="AV87" s="312" t="s">
        <v>293</v>
      </c>
      <c r="AW87" s="312" t="s">
        <v>280</v>
      </c>
      <c r="AX87" s="312" t="s">
        <v>320</v>
      </c>
      <c r="AY87" s="312" t="s">
        <v>257</v>
      </c>
      <c r="AZ87" s="312" t="s">
        <v>321</v>
      </c>
      <c r="BA87" s="312" t="s">
        <v>322</v>
      </c>
      <c r="BB87" s="312" t="s">
        <v>323</v>
      </c>
      <c r="BC87" s="312" t="s">
        <v>261</v>
      </c>
      <c r="BD87" s="313">
        <v>6.3E-2</v>
      </c>
      <c r="BE87" s="312" t="s">
        <v>299</v>
      </c>
      <c r="BF87" s="313">
        <v>0.14699999999999999</v>
      </c>
      <c r="BG87" s="312" t="s">
        <v>264</v>
      </c>
      <c r="BH87" s="312" t="s">
        <v>314</v>
      </c>
      <c r="BI87" s="312" t="s">
        <v>261</v>
      </c>
      <c r="BJ87" s="312" t="s">
        <v>250</v>
      </c>
      <c r="BK87" s="312" t="s">
        <v>264</v>
      </c>
      <c r="BL87" s="312" t="s">
        <v>324</v>
      </c>
      <c r="BM87" s="312" t="s">
        <v>267</v>
      </c>
      <c r="BN87" s="313">
        <v>0.14299999999999999</v>
      </c>
      <c r="BO87" s="312" t="s">
        <v>303</v>
      </c>
      <c r="BP87" s="313">
        <v>4.2000000000000003E-2</v>
      </c>
      <c r="BQ87" s="313">
        <v>3.9E-2</v>
      </c>
      <c r="BR87" s="312" t="s">
        <v>269</v>
      </c>
      <c r="BS87" s="312" t="s">
        <v>250</v>
      </c>
      <c r="BT87" s="312" t="s">
        <v>325</v>
      </c>
      <c r="BU87" s="313">
        <v>9.1999999999999998E-2</v>
      </c>
      <c r="BV87" s="312" t="s">
        <v>272</v>
      </c>
      <c r="BW87" s="313">
        <v>0.155</v>
      </c>
      <c r="BX87" s="312" t="s">
        <v>274</v>
      </c>
      <c r="BY87" s="312" t="s">
        <v>326</v>
      </c>
      <c r="BZ87" s="312" t="s">
        <v>254</v>
      </c>
      <c r="CA87" s="227">
        <v>50.191355018894043</v>
      </c>
      <c r="CB87" s="261">
        <v>2.3580000000000001</v>
      </c>
      <c r="CC87" s="262">
        <v>12.082000000000001</v>
      </c>
      <c r="CD87" s="258">
        <v>121.77200000000001</v>
      </c>
      <c r="CE87" s="261">
        <v>6.3622190000000005</v>
      </c>
      <c r="CF87" s="262">
        <v>65.529057999999992</v>
      </c>
      <c r="CG87" s="258">
        <v>28.108723999999999</v>
      </c>
    </row>
    <row r="88" spans="1:85" s="227" customFormat="1" ht="15.75" thickBot="1" x14ac:dyDescent="0.3">
      <c r="A88" s="227" t="s">
        <v>148</v>
      </c>
      <c r="B88" s="227" t="s">
        <v>77</v>
      </c>
      <c r="C88" s="227" t="s">
        <v>160</v>
      </c>
      <c r="D88" s="227" t="s">
        <v>84</v>
      </c>
      <c r="E88" s="227">
        <v>3</v>
      </c>
      <c r="F88" s="263" t="s">
        <v>169</v>
      </c>
      <c r="G88" s="263" t="s">
        <v>170</v>
      </c>
      <c r="H88" s="264">
        <v>44537</v>
      </c>
      <c r="I88" s="265">
        <v>0.48958333333333331</v>
      </c>
      <c r="J88" s="266">
        <v>8.6999999999999993</v>
      </c>
      <c r="K88" s="267">
        <v>7.57</v>
      </c>
      <c r="L88" s="263">
        <v>32.700000000000003</v>
      </c>
      <c r="M88" s="263">
        <v>50.9</v>
      </c>
      <c r="N88" s="268">
        <v>-28.892449999999997</v>
      </c>
      <c r="O88" s="263">
        <v>15</v>
      </c>
      <c r="P88" s="269">
        <v>4237701215.4696126</v>
      </c>
      <c r="Q88" s="270">
        <v>54.4</v>
      </c>
      <c r="R88" s="271">
        <v>2.4</v>
      </c>
      <c r="S88" s="272">
        <v>1.8666666666666667</v>
      </c>
      <c r="T88" s="273">
        <v>61.2</v>
      </c>
      <c r="U88" s="274">
        <v>13.489202663320913</v>
      </c>
      <c r="V88" s="271">
        <v>18.009678768446424</v>
      </c>
      <c r="W88" s="275">
        <f t="shared" si="5"/>
        <v>42.824386296196366</v>
      </c>
      <c r="X88" s="267">
        <v>6918.02</v>
      </c>
      <c r="Y88" s="263">
        <v>12.21</v>
      </c>
      <c r="Z88" s="263">
        <v>0.1</v>
      </c>
      <c r="AA88" s="263">
        <v>6.88</v>
      </c>
      <c r="AB88" s="263">
        <v>22.52</v>
      </c>
      <c r="AC88" s="263">
        <v>11.42</v>
      </c>
      <c r="AD88" s="263">
        <v>19378.97</v>
      </c>
      <c r="AE88" s="263">
        <v>237.42</v>
      </c>
      <c r="AF88" s="263">
        <v>15.15</v>
      </c>
      <c r="AG88" s="263">
        <v>20.440000000000001</v>
      </c>
      <c r="AH88" s="263" t="s">
        <v>349</v>
      </c>
      <c r="AI88" s="263">
        <v>29.74</v>
      </c>
      <c r="AJ88" s="263">
        <v>73.16</v>
      </c>
      <c r="AK88" s="266">
        <v>0.09</v>
      </c>
      <c r="AL88" s="276">
        <v>0.7</v>
      </c>
      <c r="AM88" s="266">
        <v>1.47</v>
      </c>
      <c r="AN88" s="266">
        <v>5.49</v>
      </c>
      <c r="AO88" s="266">
        <v>99.61</v>
      </c>
      <c r="AP88" s="266">
        <v>43.48</v>
      </c>
      <c r="AQ88" s="277">
        <v>48.25157130513891</v>
      </c>
      <c r="AR88" s="312" t="s">
        <v>250</v>
      </c>
      <c r="AS88" s="312" t="s">
        <v>317</v>
      </c>
      <c r="AT88" s="312" t="s">
        <v>318</v>
      </c>
      <c r="AU88" s="312" t="s">
        <v>319</v>
      </c>
      <c r="AV88" s="312" t="s">
        <v>293</v>
      </c>
      <c r="AW88" s="312" t="s">
        <v>280</v>
      </c>
      <c r="AX88" s="312" t="s">
        <v>320</v>
      </c>
      <c r="AY88" s="312" t="s">
        <v>257</v>
      </c>
      <c r="AZ88" s="312" t="s">
        <v>321</v>
      </c>
      <c r="BA88" s="312" t="s">
        <v>322</v>
      </c>
      <c r="BB88" s="312" t="s">
        <v>323</v>
      </c>
      <c r="BC88" s="312" t="s">
        <v>261</v>
      </c>
      <c r="BD88" s="313">
        <v>6.3E-2</v>
      </c>
      <c r="BE88" s="312" t="s">
        <v>299</v>
      </c>
      <c r="BF88" s="313">
        <v>0.14699999999999999</v>
      </c>
      <c r="BG88" s="312" t="s">
        <v>264</v>
      </c>
      <c r="BH88" s="312" t="s">
        <v>314</v>
      </c>
      <c r="BI88" s="312" t="s">
        <v>261</v>
      </c>
      <c r="BJ88" s="312" t="s">
        <v>250</v>
      </c>
      <c r="BK88" s="312" t="s">
        <v>264</v>
      </c>
      <c r="BL88" s="312" t="s">
        <v>324</v>
      </c>
      <c r="BM88" s="312" t="s">
        <v>267</v>
      </c>
      <c r="BN88" s="313">
        <v>0.14299999999999999</v>
      </c>
      <c r="BO88" s="312" t="s">
        <v>303</v>
      </c>
      <c r="BP88" s="313">
        <v>4.2000000000000003E-2</v>
      </c>
      <c r="BQ88" s="313">
        <v>3.9E-2</v>
      </c>
      <c r="BR88" s="312" t="s">
        <v>269</v>
      </c>
      <c r="BS88" s="312" t="s">
        <v>250</v>
      </c>
      <c r="BT88" s="312" t="s">
        <v>325</v>
      </c>
      <c r="BU88" s="313">
        <v>9.1999999999999998E-2</v>
      </c>
      <c r="BV88" s="312" t="s">
        <v>272</v>
      </c>
      <c r="BW88" s="313">
        <v>0.155</v>
      </c>
      <c r="BX88" s="312" t="s">
        <v>274</v>
      </c>
      <c r="BY88" s="312" t="s">
        <v>326</v>
      </c>
      <c r="BZ88" s="312" t="s">
        <v>254</v>
      </c>
      <c r="CA88" s="227">
        <v>50.740350326328297</v>
      </c>
      <c r="CB88" s="278">
        <v>2.11</v>
      </c>
      <c r="CC88" s="279">
        <v>8.8520000000000003</v>
      </c>
      <c r="CD88" s="280">
        <v>80.138000000000005</v>
      </c>
      <c r="CE88" s="278">
        <v>7.5851939999999995</v>
      </c>
      <c r="CF88" s="279">
        <v>75.139280000000014</v>
      </c>
      <c r="CG88" s="280">
        <v>17.275525999999999</v>
      </c>
    </row>
    <row r="89" spans="1:85" s="227" customFormat="1" x14ac:dyDescent="0.25">
      <c r="A89" s="227" t="s">
        <v>149</v>
      </c>
      <c r="B89" s="227" t="s">
        <v>78</v>
      </c>
      <c r="C89" s="227" t="s">
        <v>160</v>
      </c>
      <c r="D89" s="227" t="s">
        <v>84</v>
      </c>
      <c r="E89" s="227">
        <v>1</v>
      </c>
      <c r="F89" s="281" t="s">
        <v>171</v>
      </c>
      <c r="G89" s="281" t="s">
        <v>172</v>
      </c>
      <c r="H89" s="229">
        <v>44538</v>
      </c>
      <c r="I89" s="309">
        <v>0.51944444444444449</v>
      </c>
      <c r="J89" s="282">
        <v>8.1</v>
      </c>
      <c r="K89" s="283">
        <v>7.09</v>
      </c>
      <c r="L89" s="281">
        <v>21.9</v>
      </c>
      <c r="M89" s="281">
        <v>35.1</v>
      </c>
      <c r="N89" s="284">
        <v>-2.1156500000000165</v>
      </c>
      <c r="O89" s="281">
        <v>42</v>
      </c>
      <c r="P89" s="285">
        <v>3842379661.0169497</v>
      </c>
      <c r="Q89" s="286">
        <v>432.8</v>
      </c>
      <c r="R89" s="287">
        <v>1.6</v>
      </c>
      <c r="S89" s="288">
        <v>0.8</v>
      </c>
      <c r="T89" s="289">
        <v>436.88888888888891</v>
      </c>
      <c r="U89" s="290">
        <v>20.754024007042375</v>
      </c>
      <c r="V89" s="287">
        <v>30.717438387799195</v>
      </c>
      <c r="W89" s="240">
        <f t="shared" si="5"/>
        <v>40.321418979388326</v>
      </c>
      <c r="X89" s="283">
        <v>7287.84</v>
      </c>
      <c r="Y89" s="281">
        <v>16.29</v>
      </c>
      <c r="Z89" s="281">
        <v>0.19</v>
      </c>
      <c r="AA89" s="281">
        <v>9.08</v>
      </c>
      <c r="AB89" s="281">
        <v>34.01</v>
      </c>
      <c r="AC89" s="281">
        <v>23.71</v>
      </c>
      <c r="AD89" s="281">
        <v>24731.759999999998</v>
      </c>
      <c r="AE89" s="281">
        <v>326.41000000000003</v>
      </c>
      <c r="AF89" s="281">
        <v>21.77</v>
      </c>
      <c r="AG89" s="281">
        <v>19.63</v>
      </c>
      <c r="AH89" s="281" t="s">
        <v>349</v>
      </c>
      <c r="AI89" s="281">
        <v>38.799999999999997</v>
      </c>
      <c r="AJ89" s="281">
        <v>113.33</v>
      </c>
      <c r="AK89" s="282">
        <v>0.13</v>
      </c>
      <c r="AL89" s="291">
        <v>0</v>
      </c>
      <c r="AM89" s="282">
        <v>2.85</v>
      </c>
      <c r="AN89" s="282">
        <v>8.4</v>
      </c>
      <c r="AO89" s="282">
        <v>144.80000000000001</v>
      </c>
      <c r="AP89" s="282">
        <v>75.12</v>
      </c>
      <c r="AQ89" s="292">
        <v>41.702533589584085</v>
      </c>
      <c r="AR89" s="312" t="s">
        <v>287</v>
      </c>
      <c r="AS89" s="312" t="s">
        <v>327</v>
      </c>
      <c r="AT89" s="312" t="s">
        <v>291</v>
      </c>
      <c r="AU89" s="312" t="s">
        <v>328</v>
      </c>
      <c r="AV89" s="312" t="s">
        <v>287</v>
      </c>
      <c r="AW89" s="312" t="s">
        <v>294</v>
      </c>
      <c r="AX89" s="312" t="s">
        <v>329</v>
      </c>
      <c r="AY89" s="312" t="s">
        <v>267</v>
      </c>
      <c r="AZ89" s="312" t="s">
        <v>330</v>
      </c>
      <c r="BA89" s="312" t="s">
        <v>285</v>
      </c>
      <c r="BB89" s="312" t="s">
        <v>331</v>
      </c>
      <c r="BC89" s="312" t="s">
        <v>261</v>
      </c>
      <c r="BD89" s="313">
        <v>3.5999999999999997E-2</v>
      </c>
      <c r="BE89" s="312" t="s">
        <v>299</v>
      </c>
      <c r="BF89" s="313">
        <v>7.3999999999999996E-2</v>
      </c>
      <c r="BG89" s="312" t="s">
        <v>264</v>
      </c>
      <c r="BH89" s="312" t="s">
        <v>265</v>
      </c>
      <c r="BI89" s="313">
        <v>5.0000000000000001E-3</v>
      </c>
      <c r="BJ89" s="312" t="s">
        <v>264</v>
      </c>
      <c r="BK89" s="312" t="s">
        <v>264</v>
      </c>
      <c r="BL89" s="312" t="s">
        <v>332</v>
      </c>
      <c r="BM89" s="312" t="s">
        <v>264</v>
      </c>
      <c r="BN89" s="313">
        <v>0.106</v>
      </c>
      <c r="BO89" s="312" t="s">
        <v>274</v>
      </c>
      <c r="BP89" s="313">
        <v>3.9E-2</v>
      </c>
      <c r="BQ89" s="312" t="s">
        <v>285</v>
      </c>
      <c r="BR89" s="312" t="s">
        <v>293</v>
      </c>
      <c r="BS89" s="312" t="s">
        <v>264</v>
      </c>
      <c r="BT89" s="312" t="s">
        <v>269</v>
      </c>
      <c r="BU89" s="313">
        <v>0.11</v>
      </c>
      <c r="BV89" s="312" t="s">
        <v>287</v>
      </c>
      <c r="BW89" s="313">
        <v>9.8000000000000004E-2</v>
      </c>
      <c r="BX89" s="312" t="s">
        <v>254</v>
      </c>
      <c r="BY89" s="312" t="s">
        <v>333</v>
      </c>
      <c r="BZ89" s="312" t="s">
        <v>334</v>
      </c>
      <c r="CA89" s="227">
        <v>52.267423304080985</v>
      </c>
      <c r="CB89" s="293">
        <v>2.1389999999999998</v>
      </c>
      <c r="CC89" s="294">
        <v>8.5670000000000002</v>
      </c>
      <c r="CD89" s="240">
        <v>70.882999999999996</v>
      </c>
      <c r="CE89" s="293">
        <v>7.4216169999999995</v>
      </c>
      <c r="CF89" s="294">
        <v>78.182019000000011</v>
      </c>
      <c r="CG89" s="240">
        <v>14.396365999999997</v>
      </c>
    </row>
    <row r="90" spans="1:85" s="227" customFormat="1" x14ac:dyDescent="0.25">
      <c r="A90" s="227" t="s">
        <v>150</v>
      </c>
      <c r="B90" s="227" t="s">
        <v>78</v>
      </c>
      <c r="C90" s="227" t="s">
        <v>160</v>
      </c>
      <c r="D90" s="227" t="s">
        <v>84</v>
      </c>
      <c r="E90" s="227">
        <v>2</v>
      </c>
      <c r="F90" s="246" t="s">
        <v>171</v>
      </c>
      <c r="G90" s="246" t="s">
        <v>172</v>
      </c>
      <c r="H90" s="247">
        <v>44538</v>
      </c>
      <c r="I90" s="248">
        <v>0.52013888888888882</v>
      </c>
      <c r="J90" s="249">
        <v>8.1</v>
      </c>
      <c r="K90" s="250">
        <v>7.58</v>
      </c>
      <c r="L90" s="246">
        <v>27.9</v>
      </c>
      <c r="M90" s="246">
        <v>44.1</v>
      </c>
      <c r="N90" s="251">
        <v>-29.450300000000027</v>
      </c>
      <c r="O90" s="246">
        <v>8.1</v>
      </c>
      <c r="P90" s="252">
        <v>3209389830.5084748</v>
      </c>
      <c r="Q90" s="253">
        <v>93.333333333333329</v>
      </c>
      <c r="R90" s="254">
        <v>2.1333333333333333</v>
      </c>
      <c r="S90" s="255">
        <v>2.1333333333333333</v>
      </c>
      <c r="T90" s="256">
        <v>99.2</v>
      </c>
      <c r="U90" s="257">
        <v>15.926992859566665</v>
      </c>
      <c r="V90" s="254">
        <v>17.31276008821548</v>
      </c>
      <c r="W90" s="258">
        <f t="shared" si="5"/>
        <v>47.915497099473363</v>
      </c>
      <c r="X90" s="250">
        <v>7217.35</v>
      </c>
      <c r="Y90" s="246">
        <v>19.149999999999999</v>
      </c>
      <c r="Z90" s="246">
        <v>0.15</v>
      </c>
      <c r="AA90" s="246">
        <v>9.08</v>
      </c>
      <c r="AB90" s="246">
        <v>36.979999999999997</v>
      </c>
      <c r="AC90" s="246">
        <v>50.89</v>
      </c>
      <c r="AD90" s="246">
        <v>32174.1</v>
      </c>
      <c r="AE90" s="246">
        <v>588.27</v>
      </c>
      <c r="AF90" s="246">
        <v>28.59</v>
      </c>
      <c r="AG90" s="246">
        <v>19.760000000000002</v>
      </c>
      <c r="AH90" s="246" t="s">
        <v>348</v>
      </c>
      <c r="AI90" s="246">
        <v>36.53</v>
      </c>
      <c r="AJ90" s="246">
        <v>102.49</v>
      </c>
      <c r="AK90" s="249">
        <v>0.13</v>
      </c>
      <c r="AL90" s="259">
        <v>0.42</v>
      </c>
      <c r="AM90" s="249">
        <v>2.63</v>
      </c>
      <c r="AN90" s="249">
        <v>8</v>
      </c>
      <c r="AO90" s="249">
        <v>115.32</v>
      </c>
      <c r="AP90" s="249">
        <v>10.55</v>
      </c>
      <c r="AQ90" s="260">
        <v>40.096794929904533</v>
      </c>
      <c r="AR90" s="312" t="s">
        <v>287</v>
      </c>
      <c r="AS90" s="312" t="s">
        <v>327</v>
      </c>
      <c r="AT90" s="312" t="s">
        <v>291</v>
      </c>
      <c r="AU90" s="312" t="s">
        <v>328</v>
      </c>
      <c r="AV90" s="312" t="s">
        <v>287</v>
      </c>
      <c r="AW90" s="312" t="s">
        <v>294</v>
      </c>
      <c r="AX90" s="312" t="s">
        <v>329</v>
      </c>
      <c r="AY90" s="312" t="s">
        <v>267</v>
      </c>
      <c r="AZ90" s="312" t="s">
        <v>330</v>
      </c>
      <c r="BA90" s="312" t="s">
        <v>285</v>
      </c>
      <c r="BB90" s="312" t="s">
        <v>331</v>
      </c>
      <c r="BC90" s="312" t="s">
        <v>261</v>
      </c>
      <c r="BD90" s="313">
        <v>3.5999999999999997E-2</v>
      </c>
      <c r="BE90" s="312" t="s">
        <v>299</v>
      </c>
      <c r="BF90" s="313">
        <v>7.3999999999999996E-2</v>
      </c>
      <c r="BG90" s="312" t="s">
        <v>264</v>
      </c>
      <c r="BH90" s="312" t="s">
        <v>265</v>
      </c>
      <c r="BI90" s="313">
        <v>5.0000000000000001E-3</v>
      </c>
      <c r="BJ90" s="312" t="s">
        <v>264</v>
      </c>
      <c r="BK90" s="312" t="s">
        <v>264</v>
      </c>
      <c r="BL90" s="312" t="s">
        <v>332</v>
      </c>
      <c r="BM90" s="312" t="s">
        <v>264</v>
      </c>
      <c r="BN90" s="313">
        <v>0.106</v>
      </c>
      <c r="BO90" s="312" t="s">
        <v>274</v>
      </c>
      <c r="BP90" s="313">
        <v>3.9E-2</v>
      </c>
      <c r="BQ90" s="312" t="s">
        <v>285</v>
      </c>
      <c r="BR90" s="312" t="s">
        <v>293</v>
      </c>
      <c r="BS90" s="312" t="s">
        <v>264</v>
      </c>
      <c r="BT90" s="312" t="s">
        <v>269</v>
      </c>
      <c r="BU90" s="313">
        <v>0.11</v>
      </c>
      <c r="BV90" s="312" t="s">
        <v>287</v>
      </c>
      <c r="BW90" s="313">
        <v>9.8000000000000004E-2</v>
      </c>
      <c r="BX90" s="312" t="s">
        <v>254</v>
      </c>
      <c r="BY90" s="312" t="s">
        <v>333</v>
      </c>
      <c r="BZ90" s="312" t="s">
        <v>334</v>
      </c>
      <c r="CA90" s="227">
        <v>47.669650060824445</v>
      </c>
      <c r="CB90" s="261">
        <v>1.8440000000000001</v>
      </c>
      <c r="CC90" s="262">
        <v>7.8620000000000001</v>
      </c>
      <c r="CD90" s="258">
        <v>305.09699999999998</v>
      </c>
      <c r="CE90" s="261">
        <v>9.557938</v>
      </c>
      <c r="CF90" s="262">
        <v>70.537252000000009</v>
      </c>
      <c r="CG90" s="258">
        <v>19.904807999999996</v>
      </c>
    </row>
    <row r="91" spans="1:85" s="227" customFormat="1" ht="15.75" thickBot="1" x14ac:dyDescent="0.3">
      <c r="A91" s="227" t="s">
        <v>151</v>
      </c>
      <c r="B91" s="227" t="s">
        <v>78</v>
      </c>
      <c r="C91" s="227" t="s">
        <v>160</v>
      </c>
      <c r="D91" s="227" t="s">
        <v>84</v>
      </c>
      <c r="E91" s="227">
        <v>3</v>
      </c>
      <c r="F91" s="295" t="s">
        <v>171</v>
      </c>
      <c r="G91" s="295" t="s">
        <v>172</v>
      </c>
      <c r="H91" s="264">
        <v>44538</v>
      </c>
      <c r="I91" s="310">
        <v>0.52083333333333337</v>
      </c>
      <c r="J91" s="296">
        <v>8.1</v>
      </c>
      <c r="K91" s="297">
        <v>7.37</v>
      </c>
      <c r="L91" s="295">
        <v>24.4</v>
      </c>
      <c r="M91" s="295">
        <v>38.6</v>
      </c>
      <c r="N91" s="298">
        <v>-17.735450000000014</v>
      </c>
      <c r="O91" s="295">
        <v>9.9</v>
      </c>
      <c r="P91" s="299">
        <v>3776684745.7627125</v>
      </c>
      <c r="Q91" s="300">
        <v>591.20000000000005</v>
      </c>
      <c r="R91" s="301">
        <v>3.4666666666666668</v>
      </c>
      <c r="S91" s="302">
        <v>1.8666666666666667</v>
      </c>
      <c r="T91" s="303">
        <v>597.06666666666672</v>
      </c>
      <c r="U91" s="304">
        <v>18.491627557856489</v>
      </c>
      <c r="V91" s="301">
        <v>27.553107848581046</v>
      </c>
      <c r="W91" s="275">
        <f t="shared" si="5"/>
        <v>40.160134257761783</v>
      </c>
      <c r="X91" s="297">
        <v>7561.64</v>
      </c>
      <c r="Y91" s="295">
        <v>17.43</v>
      </c>
      <c r="Z91" s="295">
        <v>0.17</v>
      </c>
      <c r="AA91" s="295">
        <v>9.57</v>
      </c>
      <c r="AB91" s="295">
        <v>32.49</v>
      </c>
      <c r="AC91" s="295">
        <v>17.18</v>
      </c>
      <c r="AD91" s="295">
        <v>26135.51</v>
      </c>
      <c r="AE91" s="295">
        <v>460.41</v>
      </c>
      <c r="AF91" s="295">
        <v>21.33</v>
      </c>
      <c r="AG91" s="295">
        <v>20.2</v>
      </c>
      <c r="AH91" s="295" t="s">
        <v>348</v>
      </c>
      <c r="AI91" s="295">
        <v>41.1</v>
      </c>
      <c r="AJ91" s="295">
        <v>118.99</v>
      </c>
      <c r="AK91" s="296">
        <v>0.13</v>
      </c>
      <c r="AL91" s="305">
        <v>2.39</v>
      </c>
      <c r="AM91" s="296">
        <v>1.17</v>
      </c>
      <c r="AN91" s="296">
        <v>3.62</v>
      </c>
      <c r="AO91" s="296">
        <v>108.34</v>
      </c>
      <c r="AP91" s="296">
        <v>17.27</v>
      </c>
      <c r="AQ91" s="306">
        <v>50.622882146446152</v>
      </c>
      <c r="AR91" s="312" t="s">
        <v>287</v>
      </c>
      <c r="AS91" s="312" t="s">
        <v>327</v>
      </c>
      <c r="AT91" s="312" t="s">
        <v>291</v>
      </c>
      <c r="AU91" s="312" t="s">
        <v>328</v>
      </c>
      <c r="AV91" s="312" t="s">
        <v>287</v>
      </c>
      <c r="AW91" s="312" t="s">
        <v>294</v>
      </c>
      <c r="AX91" s="312" t="s">
        <v>329</v>
      </c>
      <c r="AY91" s="312" t="s">
        <v>267</v>
      </c>
      <c r="AZ91" s="312" t="s">
        <v>330</v>
      </c>
      <c r="BA91" s="312" t="s">
        <v>285</v>
      </c>
      <c r="BB91" s="312" t="s">
        <v>331</v>
      </c>
      <c r="BC91" s="312" t="s">
        <v>261</v>
      </c>
      <c r="BD91" s="313">
        <v>3.5999999999999997E-2</v>
      </c>
      <c r="BE91" s="312" t="s">
        <v>299</v>
      </c>
      <c r="BF91" s="313">
        <v>7.3999999999999996E-2</v>
      </c>
      <c r="BG91" s="312" t="s">
        <v>264</v>
      </c>
      <c r="BH91" s="312" t="s">
        <v>265</v>
      </c>
      <c r="BI91" s="313">
        <v>5.0000000000000001E-3</v>
      </c>
      <c r="BJ91" s="312" t="s">
        <v>264</v>
      </c>
      <c r="BK91" s="312" t="s">
        <v>264</v>
      </c>
      <c r="BL91" s="312" t="s">
        <v>332</v>
      </c>
      <c r="BM91" s="312" t="s">
        <v>264</v>
      </c>
      <c r="BN91" s="313">
        <v>0.106</v>
      </c>
      <c r="BO91" s="312" t="s">
        <v>274</v>
      </c>
      <c r="BP91" s="313">
        <v>3.9E-2</v>
      </c>
      <c r="BQ91" s="312" t="s">
        <v>285</v>
      </c>
      <c r="BR91" s="312" t="s">
        <v>293</v>
      </c>
      <c r="BS91" s="312" t="s">
        <v>264</v>
      </c>
      <c r="BT91" s="312" t="s">
        <v>269</v>
      </c>
      <c r="BU91" s="313">
        <v>0.11</v>
      </c>
      <c r="BV91" s="312" t="s">
        <v>287</v>
      </c>
      <c r="BW91" s="313">
        <v>9.8000000000000004E-2</v>
      </c>
      <c r="BX91" s="312" t="s">
        <v>254</v>
      </c>
      <c r="BY91" s="312" t="s">
        <v>333</v>
      </c>
      <c r="BZ91" s="312" t="s">
        <v>334</v>
      </c>
      <c r="CA91" s="227">
        <v>55.359781200934819</v>
      </c>
      <c r="CB91" s="307">
        <v>2.0110000000000001</v>
      </c>
      <c r="CC91" s="308">
        <v>7.7889999999999997</v>
      </c>
      <c r="CD91" s="275">
        <v>49.850999999999999</v>
      </c>
      <c r="CE91" s="307">
        <v>8.223179</v>
      </c>
      <c r="CF91" s="308">
        <v>80.924443000000011</v>
      </c>
      <c r="CG91" s="275">
        <v>10.852378999999997</v>
      </c>
    </row>
    <row r="92" spans="1:85" s="227" customFormat="1" x14ac:dyDescent="0.25">
      <c r="A92" s="227" t="s">
        <v>152</v>
      </c>
      <c r="B92" s="227" t="s">
        <v>79</v>
      </c>
      <c r="C92" s="227" t="s">
        <v>160</v>
      </c>
      <c r="D92" s="227" t="s">
        <v>83</v>
      </c>
      <c r="E92" s="227">
        <v>1</v>
      </c>
      <c r="F92" s="228" t="s">
        <v>173</v>
      </c>
      <c r="G92" s="228" t="s">
        <v>174</v>
      </c>
      <c r="H92" s="229">
        <v>44533</v>
      </c>
      <c r="I92" s="230">
        <v>0.4694444444444445</v>
      </c>
      <c r="J92" s="231">
        <v>6.9</v>
      </c>
      <c r="K92" s="232">
        <v>7.89</v>
      </c>
      <c r="L92" s="228">
        <v>5.6</v>
      </c>
      <c r="M92" s="228">
        <v>10.119999999999999</v>
      </c>
      <c r="N92" s="233">
        <v>-46.743650000000002</v>
      </c>
      <c r="O92" s="228">
        <v>18</v>
      </c>
      <c r="P92" s="234">
        <v>1609075359.1160223</v>
      </c>
      <c r="Q92" s="235">
        <v>14.733333333333333</v>
      </c>
      <c r="R92" s="236">
        <v>0.53333333333333333</v>
      </c>
      <c r="S92" s="237">
        <v>0.73333333333333328</v>
      </c>
      <c r="T92" s="238">
        <v>18.222222222222225</v>
      </c>
      <c r="U92" s="239">
        <v>6.3363155663639796</v>
      </c>
      <c r="V92" s="236">
        <v>5.4161425018835612</v>
      </c>
      <c r="W92" s="240">
        <f t="shared" si="5"/>
        <v>53.914811093717127</v>
      </c>
      <c r="X92" s="232">
        <v>7732.56</v>
      </c>
      <c r="Y92" s="228">
        <v>24.32</v>
      </c>
      <c r="Z92" s="228">
        <v>0.28999999999999998</v>
      </c>
      <c r="AA92" s="228">
        <v>17.18</v>
      </c>
      <c r="AB92" s="228">
        <v>34.590000000000003</v>
      </c>
      <c r="AC92" s="228">
        <v>22.8</v>
      </c>
      <c r="AD92" s="228">
        <v>34132.43</v>
      </c>
      <c r="AE92" s="228">
        <v>452.36</v>
      </c>
      <c r="AF92" s="228">
        <v>32.25</v>
      </c>
      <c r="AG92" s="228">
        <v>20.75</v>
      </c>
      <c r="AH92" s="228" t="s">
        <v>348</v>
      </c>
      <c r="AI92" s="228">
        <v>39.119999999999997</v>
      </c>
      <c r="AJ92" s="228">
        <v>152.07</v>
      </c>
      <c r="AK92" s="231">
        <v>0.17</v>
      </c>
      <c r="AL92" s="241">
        <v>0</v>
      </c>
      <c r="AM92" s="231">
        <v>0.72</v>
      </c>
      <c r="AN92" s="231">
        <v>3.56</v>
      </c>
      <c r="AO92" s="231">
        <v>158.32</v>
      </c>
      <c r="AP92" s="231">
        <v>69.97</v>
      </c>
      <c r="AQ92" s="242">
        <v>44.942613215550828</v>
      </c>
      <c r="AR92" s="312" t="s">
        <v>276</v>
      </c>
      <c r="AS92" s="312" t="s">
        <v>335</v>
      </c>
      <c r="AT92" s="312" t="s">
        <v>252</v>
      </c>
      <c r="AU92" s="312" t="s">
        <v>336</v>
      </c>
      <c r="AV92" s="312" t="s">
        <v>276</v>
      </c>
      <c r="AW92" s="312" t="s">
        <v>337</v>
      </c>
      <c r="AX92" s="312" t="s">
        <v>338</v>
      </c>
      <c r="AY92" s="312" t="s">
        <v>267</v>
      </c>
      <c r="AZ92" s="312" t="s">
        <v>339</v>
      </c>
      <c r="BA92" s="312" t="s">
        <v>284</v>
      </c>
      <c r="BB92" s="312" t="s">
        <v>340</v>
      </c>
      <c r="BC92" s="312" t="s">
        <v>261</v>
      </c>
      <c r="BD92" s="313">
        <v>4.5999999999999999E-2</v>
      </c>
      <c r="BE92" s="312" t="s">
        <v>262</v>
      </c>
      <c r="BF92" s="313">
        <v>8.5999999999999993E-2</v>
      </c>
      <c r="BG92" s="312" t="s">
        <v>271</v>
      </c>
      <c r="BH92" s="312" t="s">
        <v>285</v>
      </c>
      <c r="BI92" s="313">
        <v>4.0000000000000001E-3</v>
      </c>
      <c r="BJ92" s="312" t="s">
        <v>264</v>
      </c>
      <c r="BK92" s="312" t="s">
        <v>271</v>
      </c>
      <c r="BL92" s="312" t="s">
        <v>341</v>
      </c>
      <c r="BM92" s="312" t="s">
        <v>264</v>
      </c>
      <c r="BN92" s="313">
        <v>0.14099999999999999</v>
      </c>
      <c r="BO92" s="312" t="s">
        <v>293</v>
      </c>
      <c r="BP92" s="313">
        <v>2.8000000000000001E-2</v>
      </c>
      <c r="BQ92" s="312" t="s">
        <v>273</v>
      </c>
      <c r="BR92" s="312" t="s">
        <v>254</v>
      </c>
      <c r="BS92" s="312" t="s">
        <v>271</v>
      </c>
      <c r="BT92" s="312" t="s">
        <v>272</v>
      </c>
      <c r="BU92" s="313">
        <v>0.08</v>
      </c>
      <c r="BV92" s="312" t="s">
        <v>276</v>
      </c>
      <c r="BW92" s="313">
        <v>0.112</v>
      </c>
      <c r="BX92" s="312" t="s">
        <v>269</v>
      </c>
      <c r="BY92" s="312" t="s">
        <v>342</v>
      </c>
      <c r="BZ92" s="313">
        <v>4.4999999999999998E-2</v>
      </c>
      <c r="CA92" s="227">
        <v>59.329770516261981</v>
      </c>
      <c r="CB92" s="243">
        <v>1.653</v>
      </c>
      <c r="CC92" s="244">
        <v>6.1219999999999999</v>
      </c>
      <c r="CD92" s="245">
        <v>34.890999999999998</v>
      </c>
      <c r="CE92" s="243">
        <v>11.558673000000001</v>
      </c>
      <c r="CF92" s="244">
        <v>80.471885</v>
      </c>
      <c r="CG92" s="245">
        <v>7.9694409999999989</v>
      </c>
    </row>
    <row r="93" spans="1:85" s="227" customFormat="1" x14ac:dyDescent="0.25">
      <c r="A93" s="227" t="s">
        <v>153</v>
      </c>
      <c r="B93" s="227" t="s">
        <v>79</v>
      </c>
      <c r="C93" s="227" t="s">
        <v>160</v>
      </c>
      <c r="D93" s="227" t="s">
        <v>83</v>
      </c>
      <c r="E93" s="227">
        <v>2</v>
      </c>
      <c r="F93" s="246" t="s">
        <v>173</v>
      </c>
      <c r="G93" s="246" t="s">
        <v>174</v>
      </c>
      <c r="H93" s="247">
        <v>44533</v>
      </c>
      <c r="I93" s="248">
        <v>0.46319444444444446</v>
      </c>
      <c r="J93" s="249">
        <v>6.8</v>
      </c>
      <c r="K93" s="250">
        <v>7.97</v>
      </c>
      <c r="L93" s="246">
        <v>3.3</v>
      </c>
      <c r="M93" s="246">
        <v>6.07</v>
      </c>
      <c r="N93" s="251">
        <v>-51.206449999999961</v>
      </c>
      <c r="O93" s="246">
        <v>14</v>
      </c>
      <c r="P93" s="252">
        <v>1914318232.0441988</v>
      </c>
      <c r="Q93" s="253">
        <v>14.4</v>
      </c>
      <c r="R93" s="254">
        <v>2.6666666666666665</v>
      </c>
      <c r="S93" s="255">
        <v>1.2</v>
      </c>
      <c r="T93" s="256">
        <v>21.111111111111111</v>
      </c>
      <c r="U93" s="257">
        <v>4.5436593234141753</v>
      </c>
      <c r="V93" s="254">
        <v>5.1836216406159048</v>
      </c>
      <c r="W93" s="258">
        <f t="shared" si="5"/>
        <v>46.710476855926096</v>
      </c>
      <c r="X93" s="250">
        <v>7697.47</v>
      </c>
      <c r="Y93" s="246">
        <v>28.66</v>
      </c>
      <c r="Z93" s="246">
        <v>0.42</v>
      </c>
      <c r="AA93" s="246">
        <v>27.69</v>
      </c>
      <c r="AB93" s="246">
        <v>29.95</v>
      </c>
      <c r="AC93" s="246">
        <v>22.23</v>
      </c>
      <c r="AD93" s="246">
        <v>32786.81</v>
      </c>
      <c r="AE93" s="246">
        <v>485.61</v>
      </c>
      <c r="AF93" s="246">
        <v>35.43</v>
      </c>
      <c r="AG93" s="246">
        <v>20.83</v>
      </c>
      <c r="AH93" s="246" t="s">
        <v>349</v>
      </c>
      <c r="AI93" s="246">
        <v>37.26</v>
      </c>
      <c r="AJ93" s="246">
        <v>164.04</v>
      </c>
      <c r="AK93" s="249">
        <v>0.18</v>
      </c>
      <c r="AL93" s="259">
        <v>0.28999999999999998</v>
      </c>
      <c r="AM93" s="249">
        <v>1.1200000000000001</v>
      </c>
      <c r="AN93" s="249">
        <v>3.69</v>
      </c>
      <c r="AO93" s="249">
        <v>117.66</v>
      </c>
      <c r="AP93" s="249">
        <v>63.29</v>
      </c>
      <c r="AQ93" s="260">
        <v>37.755793880835924</v>
      </c>
      <c r="AR93" s="312" t="s">
        <v>276</v>
      </c>
      <c r="AS93" s="312" t="s">
        <v>335</v>
      </c>
      <c r="AT93" s="312" t="s">
        <v>252</v>
      </c>
      <c r="AU93" s="312" t="s">
        <v>336</v>
      </c>
      <c r="AV93" s="312" t="s">
        <v>276</v>
      </c>
      <c r="AW93" s="312" t="s">
        <v>337</v>
      </c>
      <c r="AX93" s="312" t="s">
        <v>338</v>
      </c>
      <c r="AY93" s="312" t="s">
        <v>267</v>
      </c>
      <c r="AZ93" s="312" t="s">
        <v>339</v>
      </c>
      <c r="BA93" s="312" t="s">
        <v>284</v>
      </c>
      <c r="BB93" s="312" t="s">
        <v>340</v>
      </c>
      <c r="BC93" s="312" t="s">
        <v>261</v>
      </c>
      <c r="BD93" s="313">
        <v>4.5999999999999999E-2</v>
      </c>
      <c r="BE93" s="312" t="s">
        <v>262</v>
      </c>
      <c r="BF93" s="313">
        <v>8.5999999999999993E-2</v>
      </c>
      <c r="BG93" s="312" t="s">
        <v>271</v>
      </c>
      <c r="BH93" s="312" t="s">
        <v>285</v>
      </c>
      <c r="BI93" s="313">
        <v>4.0000000000000001E-3</v>
      </c>
      <c r="BJ93" s="312" t="s">
        <v>264</v>
      </c>
      <c r="BK93" s="312" t="s">
        <v>271</v>
      </c>
      <c r="BL93" s="312" t="s">
        <v>341</v>
      </c>
      <c r="BM93" s="312" t="s">
        <v>264</v>
      </c>
      <c r="BN93" s="313">
        <v>0.14099999999999999</v>
      </c>
      <c r="BO93" s="312" t="s">
        <v>293</v>
      </c>
      <c r="BP93" s="313">
        <v>2.8000000000000001E-2</v>
      </c>
      <c r="BQ93" s="312" t="s">
        <v>273</v>
      </c>
      <c r="BR93" s="312" t="s">
        <v>254</v>
      </c>
      <c r="BS93" s="312" t="s">
        <v>271</v>
      </c>
      <c r="BT93" s="312" t="s">
        <v>272</v>
      </c>
      <c r="BU93" s="313">
        <v>0.08</v>
      </c>
      <c r="BV93" s="312" t="s">
        <v>276</v>
      </c>
      <c r="BW93" s="313">
        <v>0.112</v>
      </c>
      <c r="BX93" s="312" t="s">
        <v>269</v>
      </c>
      <c r="BY93" s="312" t="s">
        <v>342</v>
      </c>
      <c r="BZ93" s="313">
        <v>4.4999999999999998E-2</v>
      </c>
      <c r="CA93" s="227">
        <v>49.904029086026881</v>
      </c>
      <c r="CB93" s="261">
        <v>1.7969999999999999</v>
      </c>
      <c r="CC93" s="262">
        <v>8.9659999999999993</v>
      </c>
      <c r="CD93" s="258">
        <v>115.227</v>
      </c>
      <c r="CE93" s="261">
        <v>9.9871529999999993</v>
      </c>
      <c r="CF93" s="262">
        <v>73.005951999999994</v>
      </c>
      <c r="CG93" s="258">
        <v>17.006896000000001</v>
      </c>
    </row>
    <row r="94" spans="1:85" s="227" customFormat="1" ht="15.75" thickBot="1" x14ac:dyDescent="0.3">
      <c r="A94" s="227" t="s">
        <v>154</v>
      </c>
      <c r="B94" s="227" t="s">
        <v>79</v>
      </c>
      <c r="C94" s="227" t="s">
        <v>160</v>
      </c>
      <c r="D94" s="227" t="s">
        <v>83</v>
      </c>
      <c r="E94" s="227">
        <v>3</v>
      </c>
      <c r="F94" s="263" t="s">
        <v>173</v>
      </c>
      <c r="G94" s="263" t="s">
        <v>174</v>
      </c>
      <c r="H94" s="264">
        <v>44533</v>
      </c>
      <c r="I94" s="265">
        <v>0.4548611111111111</v>
      </c>
      <c r="J94" s="266">
        <v>6.4</v>
      </c>
      <c r="K94" s="267">
        <v>7.88</v>
      </c>
      <c r="L94" s="263">
        <v>4</v>
      </c>
      <c r="M94" s="263">
        <v>7.47</v>
      </c>
      <c r="N94" s="268">
        <v>-46.185799999999972</v>
      </c>
      <c r="O94" s="263">
        <v>13</v>
      </c>
      <c r="P94" s="269">
        <v>1282216574.5856352</v>
      </c>
      <c r="Q94" s="270">
        <v>16.866666666666667</v>
      </c>
      <c r="R94" s="271">
        <v>1.7333333333333334</v>
      </c>
      <c r="S94" s="272">
        <v>0.26666666666666666</v>
      </c>
      <c r="T94" s="273">
        <v>21.6</v>
      </c>
      <c r="U94" s="274">
        <v>4.1119118270453576</v>
      </c>
      <c r="V94" s="271">
        <v>4.2543885392550074</v>
      </c>
      <c r="W94" s="275">
        <f t="shared" si="5"/>
        <v>49.148508265472103</v>
      </c>
      <c r="X94" s="267">
        <v>7823.21</v>
      </c>
      <c r="Y94" s="263">
        <v>24</v>
      </c>
      <c r="Z94" s="263">
        <v>0.31</v>
      </c>
      <c r="AA94" s="263">
        <v>20.85</v>
      </c>
      <c r="AB94" s="263">
        <v>33.76</v>
      </c>
      <c r="AC94" s="263">
        <v>23.44</v>
      </c>
      <c r="AD94" s="263">
        <v>32050.53</v>
      </c>
      <c r="AE94" s="263">
        <v>509.19</v>
      </c>
      <c r="AF94" s="263">
        <v>32.92</v>
      </c>
      <c r="AG94" s="263">
        <v>27.34</v>
      </c>
      <c r="AH94" s="263" t="s">
        <v>349</v>
      </c>
      <c r="AI94" s="263">
        <v>42.88</v>
      </c>
      <c r="AJ94" s="263">
        <v>139.9</v>
      </c>
      <c r="AK94" s="266">
        <v>0.18</v>
      </c>
      <c r="AL94" s="276">
        <v>0</v>
      </c>
      <c r="AM94" s="266">
        <v>0.69</v>
      </c>
      <c r="AN94" s="266">
        <v>2.29</v>
      </c>
      <c r="AO94" s="266">
        <v>120.19</v>
      </c>
      <c r="AP94" s="266">
        <v>48.22</v>
      </c>
      <c r="AQ94" s="277">
        <v>40.271369336286199</v>
      </c>
      <c r="AR94" s="312" t="s">
        <v>276</v>
      </c>
      <c r="AS94" s="312" t="s">
        <v>335</v>
      </c>
      <c r="AT94" s="312" t="s">
        <v>252</v>
      </c>
      <c r="AU94" s="312" t="s">
        <v>336</v>
      </c>
      <c r="AV94" s="312" t="s">
        <v>276</v>
      </c>
      <c r="AW94" s="312" t="s">
        <v>337</v>
      </c>
      <c r="AX94" s="312" t="s">
        <v>338</v>
      </c>
      <c r="AY94" s="312" t="s">
        <v>267</v>
      </c>
      <c r="AZ94" s="312" t="s">
        <v>339</v>
      </c>
      <c r="BA94" s="312" t="s">
        <v>284</v>
      </c>
      <c r="BB94" s="312" t="s">
        <v>340</v>
      </c>
      <c r="BC94" s="312" t="s">
        <v>261</v>
      </c>
      <c r="BD94" s="313">
        <v>4.5999999999999999E-2</v>
      </c>
      <c r="BE94" s="312" t="s">
        <v>262</v>
      </c>
      <c r="BF94" s="313">
        <v>8.5999999999999993E-2</v>
      </c>
      <c r="BG94" s="312" t="s">
        <v>271</v>
      </c>
      <c r="BH94" s="312" t="s">
        <v>285</v>
      </c>
      <c r="BI94" s="313">
        <v>4.0000000000000001E-3</v>
      </c>
      <c r="BJ94" s="312" t="s">
        <v>264</v>
      </c>
      <c r="BK94" s="312" t="s">
        <v>271</v>
      </c>
      <c r="BL94" s="312" t="s">
        <v>341</v>
      </c>
      <c r="BM94" s="312" t="s">
        <v>264</v>
      </c>
      <c r="BN94" s="313">
        <v>0.14099999999999999</v>
      </c>
      <c r="BO94" s="312" t="s">
        <v>293</v>
      </c>
      <c r="BP94" s="313">
        <v>2.8000000000000001E-2</v>
      </c>
      <c r="BQ94" s="312" t="s">
        <v>273</v>
      </c>
      <c r="BR94" s="312" t="s">
        <v>254</v>
      </c>
      <c r="BS94" s="312" t="s">
        <v>271</v>
      </c>
      <c r="BT94" s="312" t="s">
        <v>272</v>
      </c>
      <c r="BU94" s="313">
        <v>0.08</v>
      </c>
      <c r="BV94" s="312" t="s">
        <v>276</v>
      </c>
      <c r="BW94" s="313">
        <v>0.112</v>
      </c>
      <c r="BX94" s="312" t="s">
        <v>269</v>
      </c>
      <c r="BY94" s="312" t="s">
        <v>342</v>
      </c>
      <c r="BZ94" s="313">
        <v>4.4999999999999998E-2</v>
      </c>
      <c r="CA94" s="227">
        <v>50.352797246604318</v>
      </c>
      <c r="CB94" s="278">
        <v>1.5549999999999999</v>
      </c>
      <c r="CC94" s="279">
        <v>6.7850000000000001</v>
      </c>
      <c r="CD94" s="280">
        <v>35.968000000000004</v>
      </c>
      <c r="CE94" s="278">
        <v>12.595852999999998</v>
      </c>
      <c r="CF94" s="279">
        <v>79.653474000000003</v>
      </c>
      <c r="CG94" s="280">
        <v>7.750669000000002</v>
      </c>
    </row>
    <row r="95" spans="1:85" s="227" customFormat="1" x14ac:dyDescent="0.25">
      <c r="A95" s="227" t="s">
        <v>155</v>
      </c>
      <c r="B95" s="227" t="s">
        <v>80</v>
      </c>
      <c r="C95" s="227" t="s">
        <v>160</v>
      </c>
      <c r="D95" s="227" t="s">
        <v>82</v>
      </c>
      <c r="E95" s="227">
        <v>1</v>
      </c>
      <c r="F95" s="228" t="s">
        <v>175</v>
      </c>
      <c r="G95" s="228" t="s">
        <v>176</v>
      </c>
      <c r="H95" s="311">
        <v>44529</v>
      </c>
      <c r="I95" s="230">
        <v>0.41666666666666669</v>
      </c>
      <c r="J95" s="231">
        <v>4.0999999999999996</v>
      </c>
      <c r="K95" s="232">
        <v>7.5179999999999998</v>
      </c>
      <c r="L95" s="228">
        <v>0.2</v>
      </c>
      <c r="M95" s="228">
        <v>0.57699999999999996</v>
      </c>
      <c r="N95" s="228">
        <v>-17.2</v>
      </c>
      <c r="O95" s="233">
        <v>30</v>
      </c>
      <c r="P95" s="234">
        <v>933945610.27837265</v>
      </c>
      <c r="Q95" s="235">
        <v>6.8666666666666663</v>
      </c>
      <c r="R95" s="236">
        <v>0.13333333333333333</v>
      </c>
      <c r="S95" s="237">
        <v>0.4</v>
      </c>
      <c r="T95" s="238">
        <v>12.422222222222221</v>
      </c>
      <c r="U95" s="239">
        <v>22.606375738436832</v>
      </c>
      <c r="V95" s="236">
        <v>35.657562158528584</v>
      </c>
      <c r="W95" s="240">
        <f t="shared" si="5"/>
        <v>38.799944793320002</v>
      </c>
      <c r="X95" s="232">
        <v>7951.05</v>
      </c>
      <c r="Y95" s="228">
        <v>10.77</v>
      </c>
      <c r="Z95" s="228">
        <v>0.11</v>
      </c>
      <c r="AA95" s="228">
        <v>10.130000000000001</v>
      </c>
      <c r="AB95" s="228">
        <v>30.75</v>
      </c>
      <c r="AC95" s="228">
        <v>10.66</v>
      </c>
      <c r="AD95" s="228">
        <v>26544.13</v>
      </c>
      <c r="AE95" s="228">
        <v>394.79</v>
      </c>
      <c r="AF95" s="228">
        <v>22.67</v>
      </c>
      <c r="AG95" s="228">
        <v>21.29</v>
      </c>
      <c r="AH95" s="228" t="s">
        <v>350</v>
      </c>
      <c r="AI95" s="228">
        <v>34.729999999999997</v>
      </c>
      <c r="AJ95" s="228">
        <v>99.14</v>
      </c>
      <c r="AK95" s="231">
        <v>0.08</v>
      </c>
      <c r="AL95" s="241">
        <v>0.06</v>
      </c>
      <c r="AM95" s="231">
        <v>0.26</v>
      </c>
      <c r="AN95" s="231">
        <v>0.57999999999999996</v>
      </c>
      <c r="AO95" s="231">
        <v>224.31</v>
      </c>
      <c r="AP95" s="231">
        <v>90.44</v>
      </c>
      <c r="AQ95" s="242">
        <v>36.761559498120846</v>
      </c>
      <c r="AR95" s="314" t="s">
        <v>287</v>
      </c>
      <c r="AS95" s="314" t="s">
        <v>256</v>
      </c>
      <c r="AT95" s="314" t="s">
        <v>278</v>
      </c>
      <c r="AU95" s="314" t="s">
        <v>343</v>
      </c>
      <c r="AV95" s="314" t="s">
        <v>287</v>
      </c>
      <c r="AW95" s="314" t="s">
        <v>280</v>
      </c>
      <c r="AX95" s="314" t="s">
        <v>344</v>
      </c>
      <c r="AY95" s="314" t="s">
        <v>267</v>
      </c>
      <c r="AZ95" s="314" t="s">
        <v>345</v>
      </c>
      <c r="BA95" s="314" t="s">
        <v>273</v>
      </c>
      <c r="BB95" s="314" t="s">
        <v>346</v>
      </c>
      <c r="BC95" s="314" t="s">
        <v>261</v>
      </c>
      <c r="BD95" s="314" t="s">
        <v>284</v>
      </c>
      <c r="BE95" s="314" t="s">
        <v>263</v>
      </c>
      <c r="BF95" s="314" t="s">
        <v>262</v>
      </c>
      <c r="BG95" s="314" t="s">
        <v>264</v>
      </c>
      <c r="BH95" s="314" t="s">
        <v>265</v>
      </c>
      <c r="BI95" s="314" t="s">
        <v>261</v>
      </c>
      <c r="BJ95" s="314" t="s">
        <v>264</v>
      </c>
      <c r="BK95" s="314" t="s">
        <v>264</v>
      </c>
      <c r="BL95" s="314" t="s">
        <v>347</v>
      </c>
      <c r="BM95" s="314" t="s">
        <v>264</v>
      </c>
      <c r="BN95" s="315">
        <v>2.4E-2</v>
      </c>
      <c r="BO95" s="314" t="s">
        <v>274</v>
      </c>
      <c r="BP95" s="314" t="s">
        <v>293</v>
      </c>
      <c r="BQ95" s="314" t="s">
        <v>273</v>
      </c>
      <c r="BR95" s="314" t="s">
        <v>254</v>
      </c>
      <c r="BS95" s="314" t="s">
        <v>264</v>
      </c>
      <c r="BT95" s="314" t="s">
        <v>272</v>
      </c>
      <c r="BU95" s="314" t="s">
        <v>271</v>
      </c>
      <c r="BV95" s="314" t="s">
        <v>287</v>
      </c>
      <c r="BW95" s="314" t="s">
        <v>265</v>
      </c>
      <c r="BX95" s="314" t="s">
        <v>254</v>
      </c>
      <c r="BY95" s="314" t="s">
        <v>316</v>
      </c>
      <c r="BZ95" s="314" t="s">
        <v>289</v>
      </c>
      <c r="CA95" s="227">
        <v>64.124484556134746</v>
      </c>
      <c r="CB95" s="293">
        <v>2.0459999999999998</v>
      </c>
      <c r="CC95" s="294">
        <v>9.2430000000000003</v>
      </c>
      <c r="CD95" s="240">
        <v>49.442</v>
      </c>
      <c r="CE95" s="293">
        <v>8.0553360000000005</v>
      </c>
      <c r="CF95" s="294">
        <v>80.982892000000007</v>
      </c>
      <c r="CG95" s="240">
        <v>10.961773000000001</v>
      </c>
    </row>
    <row r="96" spans="1:85" s="227" customFormat="1" x14ac:dyDescent="0.25">
      <c r="A96" s="227" t="s">
        <v>156</v>
      </c>
      <c r="B96" s="227" t="s">
        <v>80</v>
      </c>
      <c r="C96" s="227" t="s">
        <v>160</v>
      </c>
      <c r="D96" s="227" t="s">
        <v>82</v>
      </c>
      <c r="E96" s="227">
        <v>2</v>
      </c>
      <c r="F96" s="246" t="s">
        <v>175</v>
      </c>
      <c r="G96" s="246" t="s">
        <v>176</v>
      </c>
      <c r="H96" s="247">
        <v>44529</v>
      </c>
      <c r="I96" s="248">
        <v>0.42152777777777778</v>
      </c>
      <c r="J96" s="249">
        <v>4.3</v>
      </c>
      <c r="K96" s="250">
        <v>7.35</v>
      </c>
      <c r="L96" s="246">
        <v>0.3</v>
      </c>
      <c r="M96" s="246">
        <v>0.67200000000000004</v>
      </c>
      <c r="N96" s="246">
        <v>-8.6999999999999993</v>
      </c>
      <c r="O96" s="246">
        <v>8.1999999999999993</v>
      </c>
      <c r="P96" s="252">
        <v>1667011991.4346895</v>
      </c>
      <c r="Q96" s="253">
        <v>7.9</v>
      </c>
      <c r="R96" s="254">
        <v>0</v>
      </c>
      <c r="S96" s="255">
        <v>0.13333333333333333</v>
      </c>
      <c r="T96" s="256">
        <v>11.433333333333334</v>
      </c>
      <c r="U96" s="257">
        <v>33.582532987415682</v>
      </c>
      <c r="V96" s="254">
        <v>31.527661808546192</v>
      </c>
      <c r="W96" s="258">
        <f t="shared" si="5"/>
        <v>51.577994955558736</v>
      </c>
      <c r="X96" s="250">
        <v>7542.54</v>
      </c>
      <c r="Y96" s="246">
        <v>10.25</v>
      </c>
      <c r="Z96" s="246">
        <v>0.09</v>
      </c>
      <c r="AA96" s="246">
        <v>9.9600000000000009</v>
      </c>
      <c r="AB96" s="246">
        <v>32.07</v>
      </c>
      <c r="AC96" s="246">
        <v>10.8</v>
      </c>
      <c r="AD96" s="246">
        <v>27802.06</v>
      </c>
      <c r="AE96" s="246">
        <v>430.48</v>
      </c>
      <c r="AF96" s="246">
        <v>23.07</v>
      </c>
      <c r="AG96" s="246">
        <v>19.649999999999999</v>
      </c>
      <c r="AH96" s="246" t="s">
        <v>351</v>
      </c>
      <c r="AI96" s="246">
        <v>34.5</v>
      </c>
      <c r="AJ96" s="246">
        <v>90.94</v>
      </c>
      <c r="AK96" s="249">
        <v>0.08</v>
      </c>
      <c r="AL96" s="259">
        <v>0</v>
      </c>
      <c r="AM96" s="249">
        <v>0.18</v>
      </c>
      <c r="AN96" s="249">
        <v>0.55000000000000004</v>
      </c>
      <c r="AO96" s="249">
        <v>270.75</v>
      </c>
      <c r="AP96" s="249">
        <v>116.03</v>
      </c>
      <c r="AQ96" s="260">
        <v>34.089569110951146</v>
      </c>
      <c r="AR96" s="314" t="s">
        <v>287</v>
      </c>
      <c r="AS96" s="314" t="s">
        <v>256</v>
      </c>
      <c r="AT96" s="314" t="s">
        <v>278</v>
      </c>
      <c r="AU96" s="314" t="s">
        <v>343</v>
      </c>
      <c r="AV96" s="314" t="s">
        <v>287</v>
      </c>
      <c r="AW96" s="314" t="s">
        <v>280</v>
      </c>
      <c r="AX96" s="314" t="s">
        <v>344</v>
      </c>
      <c r="AY96" s="314" t="s">
        <v>267</v>
      </c>
      <c r="AZ96" s="314" t="s">
        <v>345</v>
      </c>
      <c r="BA96" s="314" t="s">
        <v>273</v>
      </c>
      <c r="BB96" s="314" t="s">
        <v>346</v>
      </c>
      <c r="BC96" s="314" t="s">
        <v>261</v>
      </c>
      <c r="BD96" s="314" t="s">
        <v>284</v>
      </c>
      <c r="BE96" s="314" t="s">
        <v>263</v>
      </c>
      <c r="BF96" s="314" t="s">
        <v>262</v>
      </c>
      <c r="BG96" s="314" t="s">
        <v>264</v>
      </c>
      <c r="BH96" s="314" t="s">
        <v>265</v>
      </c>
      <c r="BI96" s="314" t="s">
        <v>261</v>
      </c>
      <c r="BJ96" s="314" t="s">
        <v>264</v>
      </c>
      <c r="BK96" s="314" t="s">
        <v>264</v>
      </c>
      <c r="BL96" s="314" t="s">
        <v>347</v>
      </c>
      <c r="BM96" s="314" t="s">
        <v>264</v>
      </c>
      <c r="BN96" s="315">
        <v>2.4E-2</v>
      </c>
      <c r="BO96" s="314" t="s">
        <v>274</v>
      </c>
      <c r="BP96" s="314" t="s">
        <v>293</v>
      </c>
      <c r="BQ96" s="314" t="s">
        <v>273</v>
      </c>
      <c r="BR96" s="314" t="s">
        <v>254</v>
      </c>
      <c r="BS96" s="314" t="s">
        <v>264</v>
      </c>
      <c r="BT96" s="314" t="s">
        <v>272</v>
      </c>
      <c r="BU96" s="314" t="s">
        <v>271</v>
      </c>
      <c r="BV96" s="314" t="s">
        <v>287</v>
      </c>
      <c r="BW96" s="314" t="s">
        <v>265</v>
      </c>
      <c r="BX96" s="314" t="s">
        <v>254</v>
      </c>
      <c r="BY96" s="314" t="s">
        <v>316</v>
      </c>
      <c r="BZ96" s="314" t="s">
        <v>289</v>
      </c>
      <c r="CA96" s="227">
        <v>67.996435275859497</v>
      </c>
      <c r="CB96" s="261">
        <v>2.008</v>
      </c>
      <c r="CC96" s="262">
        <v>7.6150000000000002</v>
      </c>
      <c r="CD96" s="258">
        <v>33.398000000000003</v>
      </c>
      <c r="CE96" s="261">
        <v>8.1968830000000015</v>
      </c>
      <c r="CF96" s="262">
        <v>85.541285999999999</v>
      </c>
      <c r="CG96" s="258">
        <v>6.2618289999999988</v>
      </c>
    </row>
    <row r="97" spans="1:85" s="227" customFormat="1" ht="15.75" thickBot="1" x14ac:dyDescent="0.3">
      <c r="A97" s="227" t="s">
        <v>157</v>
      </c>
      <c r="B97" s="227" t="s">
        <v>80</v>
      </c>
      <c r="C97" s="227" t="s">
        <v>160</v>
      </c>
      <c r="D97" s="227" t="s">
        <v>82</v>
      </c>
      <c r="E97" s="227">
        <v>3</v>
      </c>
      <c r="F97" s="263" t="s">
        <v>175</v>
      </c>
      <c r="G97" s="263" t="s">
        <v>176</v>
      </c>
      <c r="H97" s="264">
        <v>44529</v>
      </c>
      <c r="I97" s="265">
        <v>0.4284722222222222</v>
      </c>
      <c r="J97" s="266">
        <v>4.0999999999999996</v>
      </c>
      <c r="K97" s="267">
        <v>7.4109999999999996</v>
      </c>
      <c r="L97" s="263">
        <v>0.2</v>
      </c>
      <c r="M97" s="263">
        <v>0.58199999999999996</v>
      </c>
      <c r="N97" s="263">
        <v>-11.9</v>
      </c>
      <c r="O97" s="263">
        <v>9.1</v>
      </c>
      <c r="P97" s="269">
        <v>1504214132.7623129</v>
      </c>
      <c r="Q97" s="270">
        <v>11.733333333333333</v>
      </c>
      <c r="R97" s="271">
        <v>6.6666666666666666E-2</v>
      </c>
      <c r="S97" s="272">
        <v>0.2</v>
      </c>
      <c r="T97" s="273">
        <v>21.733333333333331</v>
      </c>
      <c r="U97" s="274">
        <v>23.814958533059421</v>
      </c>
      <c r="V97" s="271">
        <v>49.636717995540181</v>
      </c>
      <c r="W97" s="275">
        <f t="shared" si="5"/>
        <v>32.422620774063176</v>
      </c>
      <c r="X97" s="267">
        <v>7405.63</v>
      </c>
      <c r="Y97" s="263">
        <v>10.71</v>
      </c>
      <c r="Z97" s="263">
        <v>0.1</v>
      </c>
      <c r="AA97" s="263">
        <v>9.89</v>
      </c>
      <c r="AB97" s="263">
        <v>31.58</v>
      </c>
      <c r="AC97" s="263">
        <v>10.69</v>
      </c>
      <c r="AD97" s="263">
        <v>27144.04</v>
      </c>
      <c r="AE97" s="263">
        <v>426.54</v>
      </c>
      <c r="AF97" s="263">
        <v>23.12</v>
      </c>
      <c r="AG97" s="263">
        <v>19.739999999999998</v>
      </c>
      <c r="AH97" s="263" t="s">
        <v>351</v>
      </c>
      <c r="AI97" s="263">
        <v>34.54</v>
      </c>
      <c r="AJ97" s="263">
        <v>88.75</v>
      </c>
      <c r="AK97" s="266">
        <v>7.0000000000000007E-2</v>
      </c>
      <c r="AL97" s="276">
        <v>0.15</v>
      </c>
      <c r="AM97" s="266">
        <v>0.19</v>
      </c>
      <c r="AN97" s="266">
        <v>0.56000000000000005</v>
      </c>
      <c r="AO97" s="266">
        <v>232.67</v>
      </c>
      <c r="AP97" s="266">
        <v>93.49</v>
      </c>
      <c r="AQ97" s="277">
        <v>47.019094822930775</v>
      </c>
      <c r="AR97" s="314" t="s">
        <v>287</v>
      </c>
      <c r="AS97" s="314" t="s">
        <v>256</v>
      </c>
      <c r="AT97" s="314" t="s">
        <v>278</v>
      </c>
      <c r="AU97" s="314" t="s">
        <v>343</v>
      </c>
      <c r="AV97" s="314" t="s">
        <v>287</v>
      </c>
      <c r="AW97" s="314" t="s">
        <v>280</v>
      </c>
      <c r="AX97" s="314" t="s">
        <v>344</v>
      </c>
      <c r="AY97" s="314" t="s">
        <v>267</v>
      </c>
      <c r="AZ97" s="314" t="s">
        <v>345</v>
      </c>
      <c r="BA97" s="314" t="s">
        <v>273</v>
      </c>
      <c r="BB97" s="314" t="s">
        <v>346</v>
      </c>
      <c r="BC97" s="314" t="s">
        <v>261</v>
      </c>
      <c r="BD97" s="314" t="s">
        <v>284</v>
      </c>
      <c r="BE97" s="314" t="s">
        <v>263</v>
      </c>
      <c r="BF97" s="314" t="s">
        <v>262</v>
      </c>
      <c r="BG97" s="314" t="s">
        <v>264</v>
      </c>
      <c r="BH97" s="314" t="s">
        <v>265</v>
      </c>
      <c r="BI97" s="314" t="s">
        <v>261</v>
      </c>
      <c r="BJ97" s="314" t="s">
        <v>264</v>
      </c>
      <c r="BK97" s="314" t="s">
        <v>264</v>
      </c>
      <c r="BL97" s="314" t="s">
        <v>347</v>
      </c>
      <c r="BM97" s="314" t="s">
        <v>264</v>
      </c>
      <c r="BN97" s="315">
        <v>2.4E-2</v>
      </c>
      <c r="BO97" s="314" t="s">
        <v>274</v>
      </c>
      <c r="BP97" s="314" t="s">
        <v>293</v>
      </c>
      <c r="BQ97" s="314" t="s">
        <v>273</v>
      </c>
      <c r="BR97" s="314" t="s">
        <v>254</v>
      </c>
      <c r="BS97" s="314" t="s">
        <v>264</v>
      </c>
      <c r="BT97" s="314" t="s">
        <v>272</v>
      </c>
      <c r="BU97" s="314" t="s">
        <v>271</v>
      </c>
      <c r="BV97" s="314" t="s">
        <v>287</v>
      </c>
      <c r="BW97" s="314" t="s">
        <v>265</v>
      </c>
      <c r="BX97" s="314" t="s">
        <v>254</v>
      </c>
      <c r="BY97" s="314" t="s">
        <v>316</v>
      </c>
      <c r="BZ97" s="314" t="s">
        <v>289</v>
      </c>
      <c r="CA97" s="227">
        <v>67.711560930833485</v>
      </c>
      <c r="CB97" s="307">
        <v>1.919</v>
      </c>
      <c r="CC97" s="308">
        <v>7.61</v>
      </c>
      <c r="CD97" s="275">
        <v>34.755000000000003</v>
      </c>
      <c r="CE97" s="307">
        <v>8.9102149999999991</v>
      </c>
      <c r="CF97" s="308">
        <v>84.245351999999997</v>
      </c>
      <c r="CG97" s="275">
        <v>6.8444330000000013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DDA2-38C9-4767-A8FE-FB9E15060265}">
  <dimension ref="A1:CF33"/>
  <sheetViews>
    <sheetView tabSelected="1" workbookViewId="0">
      <selection activeCell="I35" sqref="I35"/>
    </sheetView>
  </sheetViews>
  <sheetFormatPr baseColWidth="10" defaultRowHeight="15" x14ac:dyDescent="0.25"/>
  <cols>
    <col min="1" max="1" width="12.140625" bestFit="1" customWidth="1"/>
    <col min="3" max="3" width="14" bestFit="1" customWidth="1"/>
    <col min="4" max="4" width="12.7109375" bestFit="1" customWidth="1"/>
    <col min="9" max="9" width="22.140625" bestFit="1" customWidth="1"/>
  </cols>
  <sheetData>
    <row r="1" spans="1:84" ht="15.75" thickBot="1" x14ac:dyDescent="0.3">
      <c r="A1" t="s">
        <v>190</v>
      </c>
      <c r="B1" t="s">
        <v>11</v>
      </c>
      <c r="C1" t="s">
        <v>12</v>
      </c>
      <c r="D1" t="s">
        <v>13</v>
      </c>
      <c r="E1" t="s">
        <v>3</v>
      </c>
      <c r="F1" t="s">
        <v>4</v>
      </c>
      <c r="G1" t="s">
        <v>2</v>
      </c>
      <c r="H1" t="s">
        <v>180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181</v>
      </c>
      <c r="AP1" t="s">
        <v>47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  <c r="AW1" t="s">
        <v>242</v>
      </c>
      <c r="AX1" t="s">
        <v>221</v>
      </c>
      <c r="AY1" t="s">
        <v>243</v>
      </c>
      <c r="AZ1" t="s">
        <v>244</v>
      </c>
      <c r="BA1" t="s">
        <v>245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246</v>
      </c>
      <c r="BJ1" t="s">
        <v>229</v>
      </c>
      <c r="BK1" t="s">
        <v>247</v>
      </c>
      <c r="BL1" t="s">
        <v>248</v>
      </c>
      <c r="BM1" t="s">
        <v>230</v>
      </c>
      <c r="BN1" t="s">
        <v>231</v>
      </c>
      <c r="BO1" t="s">
        <v>232</v>
      </c>
      <c r="BP1" t="s">
        <v>233</v>
      </c>
      <c r="BQ1" t="s">
        <v>234</v>
      </c>
      <c r="BR1" t="s">
        <v>235</v>
      </c>
      <c r="BS1" t="s">
        <v>249</v>
      </c>
      <c r="BT1" t="s">
        <v>236</v>
      </c>
      <c r="BU1" t="s">
        <v>237</v>
      </c>
      <c r="BV1" t="s">
        <v>238</v>
      </c>
      <c r="BW1" t="s">
        <v>239</v>
      </c>
      <c r="BX1" t="s">
        <v>240</v>
      </c>
      <c r="BY1" t="s">
        <v>241</v>
      </c>
      <c r="BZ1" t="s">
        <v>40</v>
      </c>
      <c r="CA1" t="s">
        <v>41</v>
      </c>
      <c r="CB1" t="s">
        <v>42</v>
      </c>
      <c r="CC1" t="s">
        <v>43</v>
      </c>
      <c r="CD1" t="s">
        <v>44</v>
      </c>
      <c r="CE1" t="s">
        <v>45</v>
      </c>
      <c r="CF1" t="s">
        <v>46</v>
      </c>
    </row>
    <row r="2" spans="1:84" s="1" customFormat="1" ht="15.75" thickBot="1" x14ac:dyDescent="0.3">
      <c r="A2" s="1" t="s">
        <v>183</v>
      </c>
      <c r="B2" s="1" t="s">
        <v>64</v>
      </c>
      <c r="C2" s="1" t="s">
        <v>85</v>
      </c>
      <c r="D2" s="1" t="s">
        <v>82</v>
      </c>
      <c r="E2" s="2" t="s">
        <v>161</v>
      </c>
      <c r="F2" s="2" t="s">
        <v>162</v>
      </c>
      <c r="G2" s="3">
        <v>44167</v>
      </c>
      <c r="H2" s="4">
        <v>0.3611111111111111</v>
      </c>
      <c r="I2" s="1">
        <f>AVERAGE(ALL_DATA!J2:J4)</f>
        <v>6.2666666666666666</v>
      </c>
      <c r="J2" s="1">
        <f>AVERAGE(ALL_DATA!K2:K4)</f>
        <v>7.4609999999999994</v>
      </c>
      <c r="K2" s="1">
        <f>AVERAGE(ALL_DATA!L2:L4)</f>
        <v>0.53333333333333333</v>
      </c>
      <c r="L2" s="1">
        <f>AVERAGE(ALL_DATA!M2:M4)</f>
        <v>1.2333333333333334</v>
      </c>
      <c r="M2" s="1">
        <f>AVERAGE(ALL_DATA!N2:N4)</f>
        <v>-22.466666666666669</v>
      </c>
      <c r="N2" s="1">
        <f>AVERAGE(ALL_DATA!O2:O4)</f>
        <v>7</v>
      </c>
      <c r="O2" s="1">
        <f>AVERAGE(ALL_DATA!P2:P4)</f>
        <v>811870398.47473776</v>
      </c>
      <c r="P2" s="1">
        <f>AVERAGE(ALL_DATA!Q2:Q4)</f>
        <v>1.8555555555555554</v>
      </c>
      <c r="Q2" s="1">
        <f>AVERAGE(ALL_DATA!R2:R4)</f>
        <v>1.0027777777777778</v>
      </c>
      <c r="R2" s="1">
        <f>AVERAGE(ALL_DATA!S2:S4)</f>
        <v>1.5055555555555555</v>
      </c>
      <c r="S2" s="1">
        <f>AVERAGE(ALL_DATA!T2:T4)</f>
        <v>5.2629629629611108</v>
      </c>
      <c r="T2" s="1">
        <f>AVERAGE(ALL_DATA!U2:U4)</f>
        <v>9.5711128550152953</v>
      </c>
      <c r="U2" s="1">
        <f>AVERAGE(ALL_DATA!V2:V4)</f>
        <v>19.62531726463622</v>
      </c>
      <c r="V2" s="1">
        <f>AVERAGE(ALL_DATA!W2:W4)</f>
        <v>28.973814297588643</v>
      </c>
      <c r="W2" s="1">
        <f>AVERAGE(ALL_DATA!X2:X4)</f>
        <v>6616.7915430240128</v>
      </c>
      <c r="X2" s="1">
        <f>AVERAGE(ALL_DATA!Y2:Y4)</f>
        <v>8.5444201294417486</v>
      </c>
      <c r="Y2" s="1">
        <f>AVERAGE(ALL_DATA!Z2:Z4)</f>
        <v>7.2023292520214263E-2</v>
      </c>
      <c r="Z2" s="1">
        <f>AVERAGE(ALL_DATA!AA2:AA4)</f>
        <v>8.7623463580910492</v>
      </c>
      <c r="AA2" s="1">
        <f>AVERAGE(ALL_DATA!AB2:AB4)</f>
        <v>25.062762579776034</v>
      </c>
      <c r="AB2" s="1">
        <f>AVERAGE(ALL_DATA!AC2:AC4)</f>
        <v>10.629209087852457</v>
      </c>
      <c r="AC2" s="1">
        <f>AVERAGE(ALL_DATA!AD2:AD4)</f>
        <v>18501.299537355837</v>
      </c>
      <c r="AD2" s="1">
        <f>AVERAGE(ALL_DATA!AE2:AE4)</f>
        <v>392.39425833923571</v>
      </c>
      <c r="AE2" s="1">
        <f>AVERAGE(ALL_DATA!AF2:AF4)</f>
        <v>19.638455851752784</v>
      </c>
      <c r="AF2" s="1">
        <f>AVERAGE(ALL_DATA!AG2:AG4)</f>
        <v>34.019776300410193</v>
      </c>
      <c r="AG2" s="1">
        <f>AVERAGE(ALL_DATA!AH2:AH4)</f>
        <v>1.5076062146815532</v>
      </c>
      <c r="AH2" s="1">
        <f>AVERAGE(ALL_DATA!AI2:AI4)</f>
        <v>29.86693712718532</v>
      </c>
      <c r="AI2" s="1">
        <f>AVERAGE(ALL_DATA!AJ2:AJ4)</f>
        <v>81.516909165850862</v>
      </c>
      <c r="AJ2" s="1">
        <f>AVERAGE(ALL_DATA!AK2:AK4)</f>
        <v>5.846444741739306E-2</v>
      </c>
      <c r="AK2" s="1">
        <f>AVERAGE(ALL_DATA!AL2:AL4)</f>
        <v>2.3333333333333331E-2</v>
      </c>
      <c r="AL2" s="1">
        <f>AVERAGE(ALL_DATA!AM2:AM4)</f>
        <v>1.3666666666666665</v>
      </c>
      <c r="AM2" s="1">
        <f>AVERAGE(ALL_DATA!AN2:AN4)</f>
        <v>1.6466666666666667</v>
      </c>
      <c r="AN2" s="1">
        <f>AVERAGE(ALL_DATA!AO2:AO4)</f>
        <v>418.1133333333334</v>
      </c>
      <c r="AO2" s="1">
        <f>AVERAGE(ALL_DATA!AP2:AP4)</f>
        <v>173.47666666666666</v>
      </c>
      <c r="AP2" s="1">
        <f>AVERAGE(ALL_DATA!AQ2:AQ4)</f>
        <v>28.621131607117032</v>
      </c>
      <c r="AQ2" s="1" t="s">
        <v>182</v>
      </c>
      <c r="AR2" s="1" t="s">
        <v>182</v>
      </c>
      <c r="AS2" s="1" t="s">
        <v>182</v>
      </c>
      <c r="AT2" s="1" t="s">
        <v>182</v>
      </c>
      <c r="AU2" s="1" t="s">
        <v>182</v>
      </c>
      <c r="AV2" s="1" t="s">
        <v>182</v>
      </c>
      <c r="AW2" s="1" t="s">
        <v>182</v>
      </c>
      <c r="AX2" s="1" t="s">
        <v>182</v>
      </c>
      <c r="AY2" s="1" t="s">
        <v>182</v>
      </c>
      <c r="AZ2" s="1" t="s">
        <v>182</v>
      </c>
      <c r="BA2" s="1" t="s">
        <v>182</v>
      </c>
      <c r="BB2" s="1" t="s">
        <v>182</v>
      </c>
      <c r="BC2" s="1" t="s">
        <v>182</v>
      </c>
      <c r="BD2" s="1" t="s">
        <v>182</v>
      </c>
      <c r="BE2" s="1" t="s">
        <v>182</v>
      </c>
      <c r="BF2" s="1" t="s">
        <v>182</v>
      </c>
      <c r="BG2" s="1" t="s">
        <v>182</v>
      </c>
      <c r="BH2" s="1" t="s">
        <v>182</v>
      </c>
      <c r="BI2" s="1" t="s">
        <v>182</v>
      </c>
      <c r="BJ2" s="1" t="s">
        <v>182</v>
      </c>
      <c r="BK2" s="1" t="s">
        <v>182</v>
      </c>
      <c r="BL2" s="1" t="s">
        <v>182</v>
      </c>
      <c r="BM2" s="1" t="s">
        <v>182</v>
      </c>
      <c r="BN2" s="1" t="s">
        <v>182</v>
      </c>
      <c r="BO2" s="1" t="s">
        <v>182</v>
      </c>
      <c r="BP2" s="1" t="s">
        <v>182</v>
      </c>
      <c r="BQ2" s="1" t="s">
        <v>182</v>
      </c>
      <c r="BR2" s="1" t="s">
        <v>182</v>
      </c>
      <c r="BS2" s="1" t="s">
        <v>182</v>
      </c>
      <c r="BT2" s="1" t="s">
        <v>182</v>
      </c>
      <c r="BU2" s="1" t="s">
        <v>182</v>
      </c>
      <c r="BV2" s="1" t="s">
        <v>182</v>
      </c>
      <c r="BW2" s="1" t="s">
        <v>182</v>
      </c>
      <c r="BX2" s="1" t="s">
        <v>182</v>
      </c>
      <c r="BY2" s="1">
        <f>AVERAGE(ALL_DATA!BZ2:BZ4)</f>
        <v>2.5999999999999999E-2</v>
      </c>
      <c r="BZ2" s="1">
        <f>AVERAGE(ALL_DATA!CA2:CA4)</f>
        <v>57.234224009287992</v>
      </c>
      <c r="CA2" s="1">
        <f>AVERAGE(ALL_DATA!CB2:CB4)</f>
        <v>2.4676666666666667</v>
      </c>
      <c r="CB2" s="1">
        <f>AVERAGE(ALL_DATA!CC2:CC4)</f>
        <v>43.617333333333335</v>
      </c>
      <c r="CC2" s="1">
        <f>AVERAGE(ALL_DATA!CD2:CD4)</f>
        <v>408.32499999999999</v>
      </c>
      <c r="CD2" s="1">
        <f>AVERAGE(ALL_DATA!CE2:CE4)</f>
        <v>7.3129483333333338</v>
      </c>
      <c r="CE2" s="1">
        <f>AVERAGE(ALL_DATA!CF2:CF4)</f>
        <v>63.345387999999993</v>
      </c>
      <c r="CF2" s="1">
        <f>AVERAGE(ALL_DATA!CG2:CG4)</f>
        <v>29.341664666666663</v>
      </c>
    </row>
    <row r="3" spans="1:84" s="1" customFormat="1" ht="15.75" thickBot="1" x14ac:dyDescent="0.3">
      <c r="A3" s="1" t="s">
        <v>184</v>
      </c>
      <c r="B3" s="1" t="s">
        <v>74</v>
      </c>
      <c r="C3" s="1" t="s">
        <v>85</v>
      </c>
      <c r="D3" s="1" t="s">
        <v>83</v>
      </c>
      <c r="E3" s="2" t="s">
        <v>163</v>
      </c>
      <c r="F3" s="2" t="s">
        <v>164</v>
      </c>
      <c r="G3" s="3">
        <v>44168</v>
      </c>
      <c r="H3" s="4">
        <v>0.41666666666666669</v>
      </c>
      <c r="I3" s="1">
        <f>AVERAGE(ALL_DATA!J5:J7)</f>
        <v>7.4333333333333336</v>
      </c>
      <c r="J3" s="1">
        <f>AVERAGE(ALL_DATA!K5:K7)</f>
        <v>7.2766666666666664</v>
      </c>
      <c r="K3" s="1">
        <f>AVERAGE(ALL_DATA!L5:L7)</f>
        <v>2.4333333333333336</v>
      </c>
      <c r="L3" s="1">
        <f>AVERAGE(ALL_DATA!M5:M7)</f>
        <v>4.6133333333333333</v>
      </c>
      <c r="M3" s="1">
        <f>AVERAGE(ALL_DATA!N5:N7)</f>
        <v>-12.433333333333335</v>
      </c>
      <c r="N3" s="1">
        <f>AVERAGE(ALL_DATA!O5:O7)</f>
        <v>16</v>
      </c>
      <c r="O3" s="1">
        <f>AVERAGE(ALL_DATA!P5:P7)</f>
        <v>902816769.97493207</v>
      </c>
      <c r="P3" s="1">
        <f>AVERAGE(ALL_DATA!Q5:Q7)</f>
        <v>4.0222222222222221</v>
      </c>
      <c r="Q3" s="1">
        <f>AVERAGE(ALL_DATA!R5:R7)</f>
        <v>22.088888888888889</v>
      </c>
      <c r="R3" s="1">
        <f>AVERAGE(ALL_DATA!S5:S7)</f>
        <v>1.5333333333333334</v>
      </c>
      <c r="S3" s="1">
        <f>AVERAGE(ALL_DATA!T5:T7)</f>
        <v>30.251851851851853</v>
      </c>
      <c r="T3" s="1">
        <f>AVERAGE(ALL_DATA!U5:U7)</f>
        <v>17.297954363921381</v>
      </c>
      <c r="U3" s="1">
        <f>AVERAGE(ALL_DATA!V5:V7)</f>
        <v>54.108455348512628</v>
      </c>
      <c r="V3" s="1">
        <f>AVERAGE(ALL_DATA!W5:W7)</f>
        <v>24.221135219049405</v>
      </c>
      <c r="W3" s="1">
        <f>AVERAGE(ALL_DATA!X5:X7)</f>
        <v>5963.979678158219</v>
      </c>
      <c r="X3" s="1">
        <f>AVERAGE(ALL_DATA!Y5:Y7)</f>
        <v>19.898003641382974</v>
      </c>
      <c r="Y3" s="1">
        <f>AVERAGE(ALL_DATA!Z5:Z7)</f>
        <v>8.3198625119981287E-2</v>
      </c>
      <c r="Z3" s="1">
        <f>AVERAGE(ALL_DATA!AA5:AA7)</f>
        <v>12.270399491362715</v>
      </c>
      <c r="AA3" s="1">
        <f>AVERAGE(ALL_DATA!AB5:AB7)</f>
        <v>30.807375582754588</v>
      </c>
      <c r="AB3" s="1">
        <f>AVERAGE(ALL_DATA!AC5:AC7)</f>
        <v>14.243978791509646</v>
      </c>
      <c r="AC3" s="1">
        <f>AVERAGE(ALL_DATA!AD5:AD7)</f>
        <v>24350.86032462283</v>
      </c>
      <c r="AD3" s="1">
        <f>AVERAGE(ALL_DATA!AE5:AE7)</f>
        <v>633.1149671965353</v>
      </c>
      <c r="AE3" s="1">
        <f>AVERAGE(ALL_DATA!AF5:AF7)</f>
        <v>25.1225429601607</v>
      </c>
      <c r="AF3" s="1">
        <f>AVERAGE(ALL_DATA!AG5:AG7)</f>
        <v>43.389804630801372</v>
      </c>
      <c r="AG3" s="1">
        <f>AVERAGE(ALL_DATA!AH5:AH7)</f>
        <v>1.5315991167630694</v>
      </c>
      <c r="AH3" s="1">
        <f>AVERAGE(ALL_DATA!AI5:AI7)</f>
        <v>44.091780610801067</v>
      </c>
      <c r="AI3" s="1">
        <f>AVERAGE(ALL_DATA!AJ5:AJ7)</f>
        <v>94.899373723838394</v>
      </c>
      <c r="AJ3" s="1">
        <f>AVERAGE(ALL_DATA!AK5:AK7)</f>
        <v>6.9596961117824624E-2</v>
      </c>
      <c r="AK3" s="1">
        <f>AVERAGE(ALL_DATA!AL5:AL7)</f>
        <v>5.6666666666666671E-2</v>
      </c>
      <c r="AL3" s="1">
        <f>AVERAGE(ALL_DATA!AM5:AM7)</f>
        <v>0.18666666666666668</v>
      </c>
      <c r="AM3" s="1">
        <f>AVERAGE(ALL_DATA!AN5:AN7)</f>
        <v>4.1566666666666663</v>
      </c>
      <c r="AN3" s="1">
        <f>AVERAGE(ALL_DATA!AO5:AO7)</f>
        <v>385.01666666666671</v>
      </c>
      <c r="AO3" s="1">
        <f>AVERAGE(ALL_DATA!AP5:AP7)</f>
        <v>273.55</v>
      </c>
      <c r="AP3" s="1">
        <f>AVERAGE(ALL_DATA!AQ5:AQ7)</f>
        <v>33.340231574227026</v>
      </c>
      <c r="AQ3" s="1" t="s">
        <v>182</v>
      </c>
      <c r="AR3" s="1" t="s">
        <v>182</v>
      </c>
      <c r="AS3" s="1" t="s">
        <v>182</v>
      </c>
      <c r="AT3" s="1" t="s">
        <v>182</v>
      </c>
      <c r="AU3" s="1" t="s">
        <v>182</v>
      </c>
      <c r="AV3" s="1" t="s">
        <v>182</v>
      </c>
      <c r="AW3" s="1" t="s">
        <v>182</v>
      </c>
      <c r="AX3" s="1" t="s">
        <v>182</v>
      </c>
      <c r="AY3" s="1" t="s">
        <v>182</v>
      </c>
      <c r="AZ3" s="1" t="s">
        <v>182</v>
      </c>
      <c r="BA3" s="1" t="s">
        <v>182</v>
      </c>
      <c r="BB3" s="1" t="s">
        <v>182</v>
      </c>
      <c r="BC3" s="1" t="s">
        <v>182</v>
      </c>
      <c r="BD3" s="1" t="s">
        <v>182</v>
      </c>
      <c r="BE3" s="1" t="s">
        <v>182</v>
      </c>
      <c r="BF3" s="1" t="s">
        <v>182</v>
      </c>
      <c r="BG3" s="1" t="s">
        <v>182</v>
      </c>
      <c r="BH3" s="1" t="s">
        <v>182</v>
      </c>
      <c r="BI3" s="1" t="s">
        <v>182</v>
      </c>
      <c r="BJ3" s="1" t="s">
        <v>182</v>
      </c>
      <c r="BK3" s="1" t="s">
        <v>182</v>
      </c>
      <c r="BL3" s="1" t="s">
        <v>182</v>
      </c>
      <c r="BM3" s="1">
        <f>AVERAGE(ALL_DATA!BN5:BN7)</f>
        <v>3.3000000000000002E-2</v>
      </c>
      <c r="BN3" s="1" t="s">
        <v>182</v>
      </c>
      <c r="BO3" s="1" t="s">
        <v>182</v>
      </c>
      <c r="BP3" s="1" t="s">
        <v>182</v>
      </c>
      <c r="BQ3" s="1" t="s">
        <v>182</v>
      </c>
      <c r="BR3" s="1" t="s">
        <v>182</v>
      </c>
      <c r="BS3" s="1" t="s">
        <v>182</v>
      </c>
      <c r="BT3" s="1" t="s">
        <v>182</v>
      </c>
      <c r="BU3" s="1" t="s">
        <v>182</v>
      </c>
      <c r="BV3" s="1" t="s">
        <v>182</v>
      </c>
      <c r="BW3" s="1" t="s">
        <v>182</v>
      </c>
      <c r="BX3" s="1" t="s">
        <v>182</v>
      </c>
      <c r="BY3" s="1" t="s">
        <v>182</v>
      </c>
      <c r="BZ3" s="1">
        <f>AVERAGE(ALL_DATA!CA5:CA7)</f>
        <v>67.283821206702072</v>
      </c>
      <c r="CA3" s="1">
        <f>AVERAGE(ALL_DATA!CB5:CB7)</f>
        <v>1.9613333333333334</v>
      </c>
      <c r="CB3" s="1">
        <f>AVERAGE(ALL_DATA!CC5:CC7)</f>
        <v>8.5123333333333324</v>
      </c>
      <c r="CC3" s="1">
        <f>AVERAGE(ALL_DATA!CD5:CD7)</f>
        <v>58.615333333333332</v>
      </c>
      <c r="CD3" s="1">
        <f>AVERAGE(ALL_DATA!CE5:CE7)</f>
        <v>8.6726466666666671</v>
      </c>
      <c r="CE3" s="1">
        <f>AVERAGE(ALL_DATA!CF5:CF7)</f>
        <v>79.804508333333331</v>
      </c>
      <c r="CF3" s="1">
        <f>AVERAGE(ALL_DATA!CG5:CG7)</f>
        <v>11.522844666666664</v>
      </c>
    </row>
    <row r="4" spans="1:84" s="1" customFormat="1" ht="15.75" thickBot="1" x14ac:dyDescent="0.3">
      <c r="A4" s="1" t="s">
        <v>185</v>
      </c>
      <c r="B4" s="1" t="s">
        <v>75</v>
      </c>
      <c r="C4" s="1" t="s">
        <v>85</v>
      </c>
      <c r="D4" s="1" t="s">
        <v>84</v>
      </c>
      <c r="E4" s="2" t="s">
        <v>165</v>
      </c>
      <c r="F4" s="2" t="s">
        <v>166</v>
      </c>
      <c r="G4" s="3">
        <v>44162</v>
      </c>
      <c r="H4" s="4">
        <v>0.3888888888888889</v>
      </c>
      <c r="I4" s="1">
        <f>AVERAGE(ALL_DATA!J8:J10)</f>
        <v>10.266666666666667</v>
      </c>
      <c r="J4" s="1">
        <f>AVERAGE(ALL_DATA!K8:K10)</f>
        <v>7.5840000000000005</v>
      </c>
      <c r="K4" s="1">
        <f>AVERAGE(ALL_DATA!L8:L10)</f>
        <v>31.100000000000005</v>
      </c>
      <c r="L4" s="1">
        <f>AVERAGE(ALL_DATA!M8:M10)</f>
        <v>48.4</v>
      </c>
      <c r="M4" s="1">
        <f>AVERAGE(ALL_DATA!N8:N10)</f>
        <v>-29.666666666666668</v>
      </c>
      <c r="N4" s="1">
        <f>AVERAGE(ALL_DATA!O8:O10)</f>
        <v>9.8666666666666671</v>
      </c>
      <c r="O4" s="1">
        <f>AVERAGE(ALL_DATA!P8:P10)</f>
        <v>1766451495.4486344</v>
      </c>
      <c r="P4" s="1">
        <f>AVERAGE(ALL_DATA!Q8:Q10)</f>
        <v>36.177777777777777</v>
      </c>
      <c r="Q4" s="1">
        <f>AVERAGE(ALL_DATA!R8:R10)</f>
        <v>4.9333333333333336</v>
      </c>
      <c r="R4" s="1">
        <f>AVERAGE(ALL_DATA!S8:S10)</f>
        <v>3.3333333333333335</v>
      </c>
      <c r="S4" s="1">
        <f>AVERAGE(ALL_DATA!T8:T10)</f>
        <v>45.488888888888887</v>
      </c>
      <c r="T4" s="1">
        <f>AVERAGE(ALL_DATA!U8:U10)</f>
        <v>10.716661019559524</v>
      </c>
      <c r="U4" s="1">
        <f>AVERAGE(ALL_DATA!V8:V10)</f>
        <v>11.142914962861871</v>
      </c>
      <c r="V4" s="1">
        <f>AVERAGE(ALL_DATA!W8:W10)</f>
        <v>51.690341113201718</v>
      </c>
      <c r="W4" s="1">
        <f>AVERAGE(ALL_DATA!X8:X10)</f>
        <v>4042.1443847523187</v>
      </c>
      <c r="X4" s="1">
        <f>AVERAGE(ALL_DATA!Y8:Y10)</f>
        <v>8.9397096356619059</v>
      </c>
      <c r="Y4" s="1">
        <f>AVERAGE(ALL_DATA!Z8:Z10)</f>
        <v>6.5832844215182457E-2</v>
      </c>
      <c r="Z4" s="1">
        <f>AVERAGE(ALL_DATA!AA8:AA10)</f>
        <v>4.1424454272180329</v>
      </c>
      <c r="AA4" s="1">
        <f>AVERAGE(ALL_DATA!AB8:AB10)</f>
        <v>12.683850024454161</v>
      </c>
      <c r="AB4" s="1">
        <f>AVERAGE(ALL_DATA!AC8:AC10)</f>
        <v>6.1485862908161524</v>
      </c>
      <c r="AC4" s="1">
        <f>AVERAGE(ALL_DATA!AD8:AD10)</f>
        <v>10433.20611294196</v>
      </c>
      <c r="AD4" s="1">
        <f>AVERAGE(ALL_DATA!AE8:AE10)</f>
        <v>147.88226805592333</v>
      </c>
      <c r="AE4" s="1">
        <f>AVERAGE(ALL_DATA!AF8:AF10)</f>
        <v>8.1804541540832449</v>
      </c>
      <c r="AF4" s="1">
        <f>AVERAGE(ALL_DATA!AG8:AG10)</f>
        <v>14.891525083444378</v>
      </c>
      <c r="AG4" s="1">
        <f>AVERAGE(ALL_DATA!AH8:AH10)</f>
        <v>0.92550422133099242</v>
      </c>
      <c r="AH4" s="1">
        <f>AVERAGE(ALL_DATA!AI8:AI10)</f>
        <v>18.887145462623035</v>
      </c>
      <c r="AI4" s="1">
        <f>AVERAGE(ALL_DATA!AJ8:AJ10)</f>
        <v>58.042354249400439</v>
      </c>
      <c r="AJ4" s="1">
        <f>AVERAGE(ALL_DATA!AK8:AK10)</f>
        <v>3.5923107729630033E-2</v>
      </c>
      <c r="AK4" s="1">
        <f>AVERAGE(ALL_DATA!AL8:AL10)</f>
        <v>0.13666666666666666</v>
      </c>
      <c r="AL4" s="1">
        <f>AVERAGE(ALL_DATA!AM8:AM10)</f>
        <v>1.2066666666666668</v>
      </c>
      <c r="AM4" s="1">
        <f>AVERAGE(ALL_DATA!AN8:AN10)</f>
        <v>32.51</v>
      </c>
      <c r="AN4" s="1">
        <f>AVERAGE(ALL_DATA!AO8:AO10)</f>
        <v>218.56666666666669</v>
      </c>
      <c r="AO4" s="1">
        <f>AVERAGE(ALL_DATA!AP8:AP10)</f>
        <v>344.13333333333338</v>
      </c>
      <c r="AP4" s="1">
        <f>AVERAGE(ALL_DATA!AQ8:AQ10)</f>
        <v>35.054190894445206</v>
      </c>
      <c r="AQ4" s="1">
        <f>AVERAGE(ALL_DATA!AR8:AR10)</f>
        <v>8.9999999999999993E-3</v>
      </c>
      <c r="AR4" s="1" t="s">
        <v>182</v>
      </c>
      <c r="AS4" s="1" t="s">
        <v>182</v>
      </c>
      <c r="AT4" s="1" t="s">
        <v>182</v>
      </c>
      <c r="AU4" s="1" t="s">
        <v>182</v>
      </c>
      <c r="AV4" s="1" t="s">
        <v>182</v>
      </c>
      <c r="AW4" s="1" t="s">
        <v>182</v>
      </c>
      <c r="AX4" s="1" t="s">
        <v>182</v>
      </c>
      <c r="AY4" s="1" t="s">
        <v>182</v>
      </c>
      <c r="AZ4" s="1" t="s">
        <v>182</v>
      </c>
      <c r="BA4" s="1" t="s">
        <v>182</v>
      </c>
      <c r="BB4" s="1" t="s">
        <v>182</v>
      </c>
      <c r="BC4" s="1" t="s">
        <v>182</v>
      </c>
      <c r="BD4" s="1" t="s">
        <v>182</v>
      </c>
      <c r="BE4" s="1">
        <f>AVERAGE(ALL_DATA!BF8:BF10)</f>
        <v>6.8000000000000005E-2</v>
      </c>
      <c r="BF4" s="1" t="s">
        <v>182</v>
      </c>
      <c r="BG4" s="1" t="s">
        <v>182</v>
      </c>
      <c r="BH4" s="1" t="s">
        <v>182</v>
      </c>
      <c r="BI4" s="1" t="s">
        <v>182</v>
      </c>
      <c r="BJ4" s="1" t="s">
        <v>182</v>
      </c>
      <c r="BK4" s="1" t="s">
        <v>182</v>
      </c>
      <c r="BL4" s="1" t="s">
        <v>182</v>
      </c>
      <c r="BM4" s="1" t="s">
        <v>182</v>
      </c>
      <c r="BN4" s="1" t="s">
        <v>182</v>
      </c>
      <c r="BO4" s="1">
        <f>AVERAGE(ALL_DATA!BP8:BP10)</f>
        <v>0.01</v>
      </c>
      <c r="BP4" s="1" t="s">
        <v>182</v>
      </c>
      <c r="BQ4" s="1" t="s">
        <v>182</v>
      </c>
      <c r="BR4" s="1" t="s">
        <v>182</v>
      </c>
      <c r="BS4" s="1" t="s">
        <v>182</v>
      </c>
      <c r="BT4" s="1">
        <f>AVERAGE(ALL_DATA!BU8:BU10)</f>
        <v>0.03</v>
      </c>
      <c r="BU4" s="1" t="s">
        <v>182</v>
      </c>
      <c r="BV4" s="1" t="s">
        <v>182</v>
      </c>
      <c r="BW4" s="1" t="s">
        <v>182</v>
      </c>
      <c r="BX4" s="1" t="s">
        <v>182</v>
      </c>
      <c r="BY4" s="1" t="s">
        <v>182</v>
      </c>
      <c r="BZ4" s="1">
        <f>AVERAGE(ALL_DATA!CA8:CA10)</f>
        <v>41.038703787987771</v>
      </c>
      <c r="CA4" s="1">
        <f>AVERAGE(ALL_DATA!CB8:CB10)</f>
        <v>2.3326666666666669</v>
      </c>
      <c r="CB4" s="1">
        <f>AVERAGE(ALL_DATA!CC8:CC10)</f>
        <v>11.612</v>
      </c>
      <c r="CC4" s="1">
        <f>AVERAGE(ALL_DATA!CD8:CD10)</f>
        <v>133.79</v>
      </c>
      <c r="CD4" s="1">
        <f>AVERAGE(ALL_DATA!CE8:CE10)</f>
        <v>6.5692260000000005</v>
      </c>
      <c r="CE4" s="1">
        <f>AVERAGE(ALL_DATA!CF8:CF10)</f>
        <v>64.995916333333341</v>
      </c>
      <c r="CF4" s="1">
        <f>AVERAGE(ALL_DATA!CG8:CG10)</f>
        <v>28.434857000000004</v>
      </c>
    </row>
    <row r="5" spans="1:84" s="1" customFormat="1" ht="15.75" thickBot="1" x14ac:dyDescent="0.3">
      <c r="A5" s="1" t="s">
        <v>186</v>
      </c>
      <c r="B5" s="1" t="s">
        <v>76</v>
      </c>
      <c r="C5" s="1" t="s">
        <v>85</v>
      </c>
      <c r="D5" s="1" t="s">
        <v>83</v>
      </c>
      <c r="E5" s="2" t="s">
        <v>167</v>
      </c>
      <c r="F5" s="2" t="s">
        <v>168</v>
      </c>
      <c r="G5" s="3">
        <v>44162</v>
      </c>
      <c r="H5" s="4">
        <v>0.46180555555555558</v>
      </c>
      <c r="I5" s="1">
        <f>AVERAGE(ALL_DATA!J11:J13)</f>
        <v>9.3333333333333339</v>
      </c>
      <c r="J5" s="1">
        <f>AVERAGE(ALL_DATA!K11:K13)</f>
        <v>7.4980000000000002</v>
      </c>
      <c r="K5" s="1">
        <f>AVERAGE(ALL_DATA!L11:L13)</f>
        <v>4.2</v>
      </c>
      <c r="L5" s="1">
        <f>AVERAGE(ALL_DATA!M11:M13)</f>
        <v>7.6700000000000008</v>
      </c>
      <c r="M5" s="1">
        <f>AVERAGE(ALL_DATA!N11:N13)</f>
        <v>-24.866666666666664</v>
      </c>
      <c r="N5" s="1">
        <f>AVERAGE(ALL_DATA!O11:O13)</f>
        <v>7.9333333333333327</v>
      </c>
      <c r="O5" s="1">
        <f>AVERAGE(ALL_DATA!P11:P13)</f>
        <v>559138621.58647597</v>
      </c>
      <c r="P5" s="1">
        <f>AVERAGE(ALL_DATA!Q11:Q13)</f>
        <v>2.161111111111111</v>
      </c>
      <c r="Q5" s="1">
        <f>AVERAGE(ALL_DATA!R11:R13)</f>
        <v>0.10555555555555556</v>
      </c>
      <c r="R5" s="1">
        <f>AVERAGE(ALL_DATA!S11:S13)</f>
        <v>8.8888888888888892E-2</v>
      </c>
      <c r="S5" s="1">
        <f>AVERAGE(ALL_DATA!T11:T13)</f>
        <v>2.5611111111111113</v>
      </c>
      <c r="T5" s="1">
        <f>AVERAGE(ALL_DATA!U11:U13)</f>
        <v>7.0112229849498711</v>
      </c>
      <c r="U5" s="1">
        <f>AVERAGE(ALL_DATA!V11:V13)</f>
        <v>31.677623857486694</v>
      </c>
      <c r="V5" s="1">
        <f>AVERAGE(ALL_DATA!W11:W13)</f>
        <v>18.106218379662476</v>
      </c>
      <c r="W5" s="1">
        <f>AVERAGE(ALL_DATA!X11:X13)</f>
        <v>6347.2575766962318</v>
      </c>
      <c r="X5" s="1">
        <f>AVERAGE(ALL_DATA!Y11:Y13)</f>
        <v>18.750495084995979</v>
      </c>
      <c r="Y5" s="1">
        <f>AVERAGE(ALL_DATA!Z11:Z13)</f>
        <v>0.10192318330283175</v>
      </c>
      <c r="Z5" s="1">
        <f>AVERAGE(ALL_DATA!AA11:AA13)</f>
        <v>12.329341846883288</v>
      </c>
      <c r="AA5" s="1">
        <f>AVERAGE(ALL_DATA!AB11:AB13)</f>
        <v>34.121510326275811</v>
      </c>
      <c r="AB5" s="1">
        <f>AVERAGE(ALL_DATA!AC11:AC13)</f>
        <v>15.076763371472012</v>
      </c>
      <c r="AC5" s="1">
        <f>AVERAGE(ALL_DATA!AD11:AD13)</f>
        <v>24342.617138365702</v>
      </c>
      <c r="AD5" s="1">
        <f>AVERAGE(ALL_DATA!AE11:AE13)</f>
        <v>577.56798742019146</v>
      </c>
      <c r="AE5" s="1">
        <f>AVERAGE(ALL_DATA!AF11:AF13)</f>
        <v>24.966549319792279</v>
      </c>
      <c r="AF5" s="1">
        <f>AVERAGE(ALL_DATA!AG11:AG13)</f>
        <v>42.550317898860946</v>
      </c>
      <c r="AG5" s="1">
        <f>AVERAGE(ALL_DATA!AH11:AH13)</f>
        <v>1.7730646217686055</v>
      </c>
      <c r="AH5" s="1">
        <f>AVERAGE(ALL_DATA!AI11:AI13)</f>
        <v>45.373700890228172</v>
      </c>
      <c r="AI5" s="1">
        <f>AVERAGE(ALL_DATA!AJ11:AJ13)</f>
        <v>112.1183372639909</v>
      </c>
      <c r="AJ5" s="1">
        <f>AVERAGE(ALL_DATA!AK11:AK13)</f>
        <v>8.0374657446338107E-2</v>
      </c>
      <c r="AK5" s="1">
        <f>AVERAGE(ALL_DATA!AL11:AL13)</f>
        <v>0.53666666666666674</v>
      </c>
      <c r="AL5" s="1">
        <f>AVERAGE(ALL_DATA!AM11:AM13)</f>
        <v>0.31066666666666665</v>
      </c>
      <c r="AM5" s="1">
        <f>AVERAGE(ALL_DATA!AN11:AN13)</f>
        <v>13.979999999999999</v>
      </c>
      <c r="AN5" s="1">
        <f>AVERAGE(ALL_DATA!AO11:AO13)</f>
        <v>512.04</v>
      </c>
      <c r="AO5" s="1">
        <f>AVERAGE(ALL_DATA!AP11:AP13)</f>
        <v>488.30400000000003</v>
      </c>
      <c r="AP5" s="1">
        <f>AVERAGE(ALL_DATA!AQ11:AQ13)</f>
        <v>27.699603089494442</v>
      </c>
      <c r="AQ5" s="1" t="s">
        <v>182</v>
      </c>
      <c r="AR5" s="1" t="s">
        <v>182</v>
      </c>
      <c r="AS5" s="1" t="s">
        <v>182</v>
      </c>
      <c r="AT5" s="1" t="s">
        <v>182</v>
      </c>
      <c r="AU5" s="1" t="s">
        <v>182</v>
      </c>
      <c r="AV5" s="1" t="s">
        <v>182</v>
      </c>
      <c r="AW5" s="1" t="s">
        <v>182</v>
      </c>
      <c r="AX5" s="1" t="s">
        <v>182</v>
      </c>
      <c r="AY5" s="1" t="s">
        <v>182</v>
      </c>
      <c r="AZ5" s="1" t="s">
        <v>182</v>
      </c>
      <c r="BA5" s="1" t="s">
        <v>182</v>
      </c>
      <c r="BB5" s="1" t="s">
        <v>182</v>
      </c>
      <c r="BC5" s="1" t="s">
        <v>182</v>
      </c>
      <c r="BD5" s="1" t="s">
        <v>182</v>
      </c>
      <c r="BE5" s="1">
        <f>AVERAGE(ALL_DATA!BF11:BF13)</f>
        <v>8.2000000000000003E-2</v>
      </c>
      <c r="BF5" s="1" t="s">
        <v>182</v>
      </c>
      <c r="BG5" s="1" t="s">
        <v>182</v>
      </c>
      <c r="BH5" s="1" t="s">
        <v>182</v>
      </c>
      <c r="BI5" s="1" t="s">
        <v>182</v>
      </c>
      <c r="BJ5" s="1" t="s">
        <v>182</v>
      </c>
      <c r="BK5" s="1" t="s">
        <v>182</v>
      </c>
      <c r="BL5" s="1" t="s">
        <v>182</v>
      </c>
      <c r="BM5" s="1">
        <f>AVERAGE(ALL_DATA!BN11:BN13)</f>
        <v>0.08</v>
      </c>
      <c r="BN5" s="1" t="s">
        <v>182</v>
      </c>
      <c r="BO5" s="1">
        <f>AVERAGE(ALL_DATA!BP11:BP13)</f>
        <v>1.7000000000000001E-2</v>
      </c>
      <c r="BP5" s="1" t="s">
        <v>182</v>
      </c>
      <c r="BQ5" s="1" t="s">
        <v>182</v>
      </c>
      <c r="BR5" s="1" t="s">
        <v>182</v>
      </c>
      <c r="BS5" s="1" t="s">
        <v>182</v>
      </c>
      <c r="BT5" s="1">
        <f>AVERAGE(ALL_DATA!BU11:BU13)</f>
        <v>5.2999999999999999E-2</v>
      </c>
      <c r="BU5" s="1" t="s">
        <v>182</v>
      </c>
      <c r="BV5" s="1">
        <f>AVERAGE(ALL_DATA!BW11:BW13)</f>
        <v>5.0999999999999997E-2</v>
      </c>
      <c r="BW5" s="1" t="s">
        <v>182</v>
      </c>
      <c r="BX5" s="1" t="s">
        <v>182</v>
      </c>
      <c r="BY5" s="1" t="s">
        <v>182</v>
      </c>
      <c r="BZ5" s="1">
        <f>AVERAGE(ALL_DATA!CA11:CA13)</f>
        <v>66.129298342813499</v>
      </c>
      <c r="CA5" s="1">
        <f>AVERAGE(ALL_DATA!CB11:CB13)</f>
        <v>1.7746666666666666</v>
      </c>
      <c r="CB5" s="1">
        <f>AVERAGE(ALL_DATA!CC11:CC13)</f>
        <v>7.8633333333333333</v>
      </c>
      <c r="CC5" s="1">
        <f>AVERAGE(ALL_DATA!CD11:CD13)</f>
        <v>60.010333333333335</v>
      </c>
      <c r="CD5" s="1">
        <f>AVERAGE(ALL_DATA!CE11:CE13)</f>
        <v>10.184694333333333</v>
      </c>
      <c r="CE5" s="1">
        <f>AVERAGE(ALL_DATA!CF11:CF13)</f>
        <v>79.385345000000015</v>
      </c>
      <c r="CF5" s="1">
        <f>AVERAGE(ALL_DATA!CG11:CG13)</f>
        <v>10.429960333333334</v>
      </c>
    </row>
    <row r="6" spans="1:84" s="1" customFormat="1" ht="15.75" thickBot="1" x14ac:dyDescent="0.3">
      <c r="A6" s="1" t="s">
        <v>60</v>
      </c>
      <c r="B6" s="1" t="s">
        <v>77</v>
      </c>
      <c r="C6" s="1" t="s">
        <v>85</v>
      </c>
      <c r="D6" s="1" t="s">
        <v>84</v>
      </c>
      <c r="E6" s="2" t="s">
        <v>169</v>
      </c>
      <c r="F6" s="2" t="s">
        <v>170</v>
      </c>
      <c r="G6" s="3">
        <v>44165</v>
      </c>
      <c r="H6" s="4">
        <v>0.40625</v>
      </c>
      <c r="I6" s="1">
        <f>AVERAGE(ALL_DATA!J14:J16)</f>
        <v>5.8</v>
      </c>
      <c r="J6" s="1">
        <f>AVERAGE(ALL_DATA!K14:K16)</f>
        <v>7.6643333333333326</v>
      </c>
      <c r="K6" s="1">
        <f>AVERAGE(ALL_DATA!L14:L16)</f>
        <v>32.566666666666663</v>
      </c>
      <c r="L6" s="1">
        <f>AVERAGE(ALL_DATA!M14:M16)</f>
        <v>50.300000000000004</v>
      </c>
      <c r="M6" s="1">
        <f>AVERAGE(ALL_DATA!N14:N16)</f>
        <v>-34.166666666666664</v>
      </c>
      <c r="N6" s="1">
        <f>AVERAGE(ALL_DATA!O14:O16)</f>
        <v>10.766666666666666</v>
      </c>
      <c r="O6" s="1">
        <f>AVERAGE(ALL_DATA!P14:P16)</f>
        <v>1624544057.9710143</v>
      </c>
      <c r="P6" s="1">
        <f>AVERAGE(ALL_DATA!Q14:Q16)</f>
        <v>43.68888888888889</v>
      </c>
      <c r="Q6" s="1">
        <f>AVERAGE(ALL_DATA!R14:R16)</f>
        <v>2.8444444444444446</v>
      </c>
      <c r="R6" s="1">
        <f>AVERAGE(ALL_DATA!S14:S16)</f>
        <v>1.7777777777777777</v>
      </c>
      <c r="S6" s="1">
        <f>AVERAGE(ALL_DATA!T14:T16)</f>
        <v>51.68888888888889</v>
      </c>
      <c r="T6" s="1">
        <f>AVERAGE(ALL_DATA!U14:U16)</f>
        <v>8.3970222610003855</v>
      </c>
      <c r="U6" s="1">
        <f>AVERAGE(ALL_DATA!V14:V16)</f>
        <v>14.558129779313953</v>
      </c>
      <c r="V6" s="1">
        <f>AVERAGE(ALL_DATA!W14:W16)</f>
        <v>36.347192181498258</v>
      </c>
      <c r="W6" s="1">
        <f>AVERAGE(ALL_DATA!X14:X16)</f>
        <v>6219.3774977273742</v>
      </c>
      <c r="X6" s="1">
        <f>AVERAGE(ALL_DATA!Y14:Y16)</f>
        <v>11.595629098420005</v>
      </c>
      <c r="Y6" s="1">
        <f>AVERAGE(ALL_DATA!Z14:Z16)</f>
        <v>7.3621573298425724E-2</v>
      </c>
      <c r="Z6" s="1">
        <f>AVERAGE(ALL_DATA!AA14:AA16)</f>
        <v>8.0967159081208706</v>
      </c>
      <c r="AA6" s="1">
        <f>AVERAGE(ALL_DATA!AB14:AB16)</f>
        <v>22.175642826625296</v>
      </c>
      <c r="AB6" s="1">
        <f>AVERAGE(ALL_DATA!AC14:AC16)</f>
        <v>11.313616655560736</v>
      </c>
      <c r="AC6" s="1">
        <f>AVERAGE(ALL_DATA!AD14:AD16)</f>
        <v>16993.274472477995</v>
      </c>
      <c r="AD6" s="1">
        <f>AVERAGE(ALL_DATA!AE14:AE16)</f>
        <v>269.21265715758176</v>
      </c>
      <c r="AE6" s="1">
        <f>AVERAGE(ALL_DATA!AF14:AF16)</f>
        <v>15.821972097392168</v>
      </c>
      <c r="AF6" s="1">
        <f>AVERAGE(ALL_DATA!AG14:AG16)</f>
        <v>32.783316749850691</v>
      </c>
      <c r="AG6" s="1">
        <f>AVERAGE(ALL_DATA!AH14:AH16)</f>
        <v>1.265423034959144</v>
      </c>
      <c r="AH6" s="1">
        <f>AVERAGE(ALL_DATA!AI14:AI16)</f>
        <v>29.115611700572785</v>
      </c>
      <c r="AI6" s="1">
        <f>AVERAGE(ALL_DATA!AJ14:AJ16)</f>
        <v>83.27381246108915</v>
      </c>
      <c r="AJ6" s="1">
        <f>AVERAGE(ALL_DATA!AK14:AK16)</f>
        <v>6.5546870882194963E-2</v>
      </c>
      <c r="AK6" s="1">
        <f>AVERAGE(ALL_DATA!AL14:AL16)</f>
        <v>0.08</v>
      </c>
      <c r="AL6" s="1">
        <f>AVERAGE(ALL_DATA!AM14:AM16)</f>
        <v>1.1199999999999999</v>
      </c>
      <c r="AM6" s="1">
        <f>AVERAGE(ALL_DATA!AN14:AN16)</f>
        <v>5.873333333333334</v>
      </c>
      <c r="AN6" s="1">
        <f>AVERAGE(ALL_DATA!AO14:AO16)</f>
        <v>106.60333333333334</v>
      </c>
      <c r="AO6" s="1">
        <f>AVERAGE(ALL_DATA!AP14:AP16)</f>
        <v>91.306666666666672</v>
      </c>
      <c r="AP6" s="1">
        <f>AVERAGE(ALL_DATA!AQ14:AQ16)</f>
        <v>43.084807544116209</v>
      </c>
      <c r="AQ6" s="1" t="s">
        <v>182</v>
      </c>
      <c r="AR6" s="1" t="s">
        <v>182</v>
      </c>
      <c r="AS6" s="1" t="s">
        <v>182</v>
      </c>
      <c r="AT6" s="1" t="s">
        <v>182</v>
      </c>
      <c r="AU6" s="1" t="s">
        <v>182</v>
      </c>
      <c r="AV6" s="1" t="s">
        <v>182</v>
      </c>
      <c r="AW6" s="1" t="s">
        <v>182</v>
      </c>
      <c r="AX6" s="1" t="s">
        <v>182</v>
      </c>
      <c r="AY6" s="1" t="s">
        <v>182</v>
      </c>
      <c r="AZ6" s="1" t="s">
        <v>182</v>
      </c>
      <c r="BA6" s="1" t="s">
        <v>182</v>
      </c>
      <c r="BB6" s="1" t="s">
        <v>182</v>
      </c>
      <c r="BC6" s="1">
        <f>AVERAGE(ALL_DATA!BD14:BD16)</f>
        <v>6.3E-2</v>
      </c>
      <c r="BD6" s="1" t="s">
        <v>182</v>
      </c>
      <c r="BE6" s="1">
        <f>AVERAGE(ALL_DATA!BF14:BF16)</f>
        <v>0.14699999999999999</v>
      </c>
      <c r="BF6" s="1" t="s">
        <v>182</v>
      </c>
      <c r="BG6" s="1" t="s">
        <v>182</v>
      </c>
      <c r="BH6" s="1" t="s">
        <v>182</v>
      </c>
      <c r="BI6" s="1" t="s">
        <v>182</v>
      </c>
      <c r="BJ6" s="1" t="s">
        <v>182</v>
      </c>
      <c r="BK6" s="1" t="s">
        <v>182</v>
      </c>
      <c r="BL6" s="1" t="s">
        <v>182</v>
      </c>
      <c r="BM6" s="1">
        <f>AVERAGE(ALL_DATA!BN14:BN16)</f>
        <v>0.14299999999999999</v>
      </c>
      <c r="BN6" s="1" t="s">
        <v>182</v>
      </c>
      <c r="BO6" s="1">
        <f>AVERAGE(ALL_DATA!BP14:BP16)</f>
        <v>4.2000000000000003E-2</v>
      </c>
      <c r="BP6" s="1">
        <f>AVERAGE(ALL_DATA!BQ14:BQ16)</f>
        <v>3.9E-2</v>
      </c>
      <c r="BQ6" s="1" t="s">
        <v>182</v>
      </c>
      <c r="BR6" s="1" t="s">
        <v>182</v>
      </c>
      <c r="BS6" s="1" t="s">
        <v>182</v>
      </c>
      <c r="BT6" s="1">
        <f>AVERAGE(ALL_DATA!BU14:BU16)</f>
        <v>9.2000000000000012E-2</v>
      </c>
      <c r="BU6" s="1" t="s">
        <v>182</v>
      </c>
      <c r="BV6" s="1">
        <f>AVERAGE(ALL_DATA!BW14:BW16)</f>
        <v>0.155</v>
      </c>
      <c r="BW6" s="1" t="s">
        <v>182</v>
      </c>
      <c r="BX6" s="1" t="s">
        <v>182</v>
      </c>
      <c r="BY6" s="1" t="s">
        <v>182</v>
      </c>
      <c r="BZ6" s="1">
        <f>AVERAGE(ALL_DATA!CA14:CA16)</f>
        <v>44.18741018327335</v>
      </c>
      <c r="CA6" s="1">
        <f>AVERAGE(ALL_DATA!CB14:CB16)</f>
        <v>2.2106666666666666</v>
      </c>
      <c r="CB6" s="1">
        <f>AVERAGE(ALL_DATA!CC14:CC16)</f>
        <v>11.038000000000002</v>
      </c>
      <c r="CC6" s="1">
        <f>AVERAGE(ALL_DATA!CD14:CD16)</f>
        <v>110.92466666666667</v>
      </c>
      <c r="CD6" s="1">
        <f>AVERAGE(ALL_DATA!CE14:CE16)</f>
        <v>7.0867433333333336</v>
      </c>
      <c r="CE6" s="1">
        <f>AVERAGE(ALL_DATA!CF14:CF16)</f>
        <v>68.145217666666667</v>
      </c>
      <c r="CF6" s="1">
        <f>AVERAGE(ALL_DATA!CG14:CG16)</f>
        <v>24.768038333333333</v>
      </c>
    </row>
    <row r="7" spans="1:84" s="1" customFormat="1" ht="15.75" thickBot="1" x14ac:dyDescent="0.3">
      <c r="A7" s="1" t="s">
        <v>187</v>
      </c>
      <c r="B7" s="1" t="s">
        <v>78</v>
      </c>
      <c r="C7" s="1" t="s">
        <v>85</v>
      </c>
      <c r="D7" s="1" t="s">
        <v>84</v>
      </c>
      <c r="E7" s="2" t="s">
        <v>171</v>
      </c>
      <c r="F7" s="2" t="s">
        <v>172</v>
      </c>
      <c r="G7" s="3">
        <v>44165</v>
      </c>
      <c r="H7" s="4">
        <v>0.47916666666666669</v>
      </c>
      <c r="I7" s="1">
        <f>AVERAGE(ALL_DATA!J17:J19)</f>
        <v>5.8666666666666671</v>
      </c>
      <c r="J7" s="1">
        <f>AVERAGE(ALL_DATA!K17:K19)</f>
        <v>8.0033333333333321</v>
      </c>
      <c r="K7" s="1">
        <f>AVERAGE(ALL_DATA!L17:L19)</f>
        <v>31.666666666666668</v>
      </c>
      <c r="L7" s="1">
        <f>AVERAGE(ALL_DATA!M17:M19)</f>
        <v>49.6449</v>
      </c>
      <c r="M7" s="1">
        <f>AVERAGE(ALL_DATA!N17:N19)</f>
        <v>-53.066666666666663</v>
      </c>
      <c r="N7" s="1">
        <f>AVERAGE(ALL_DATA!O17:O19)</f>
        <v>17.8</v>
      </c>
      <c r="O7" s="1">
        <f>AVERAGE(ALL_DATA!P17:P19)</f>
        <v>752168695.652174</v>
      </c>
      <c r="P7" s="1">
        <f>AVERAGE(ALL_DATA!Q17:Q19)</f>
        <v>7.8444444444444441</v>
      </c>
      <c r="Q7" s="1">
        <f>AVERAGE(ALL_DATA!R17:R19)</f>
        <v>3.1777777777777776</v>
      </c>
      <c r="R7" s="1">
        <f>AVERAGE(ALL_DATA!S17:S19)</f>
        <v>0.64444444444444449</v>
      </c>
      <c r="S7" s="1">
        <f>AVERAGE(ALL_DATA!T17:T19)</f>
        <v>12.52962962962963</v>
      </c>
      <c r="T7" s="1">
        <f>AVERAGE(ALL_DATA!U17:U19)</f>
        <v>1.4558827124542522</v>
      </c>
      <c r="U7" s="1">
        <f>AVERAGE(ALL_DATA!V17:V19)</f>
        <v>6.8440393988740285</v>
      </c>
      <c r="V7" s="1">
        <f>AVERAGE(ALL_DATA!W17:W19)</f>
        <v>17.557457831745722</v>
      </c>
      <c r="W7" s="1">
        <f>AVERAGE(ALL_DATA!X17:X19)</f>
        <v>6573.7353586097597</v>
      </c>
      <c r="X7" s="1">
        <f>AVERAGE(ALL_DATA!Y17:Y19)</f>
        <v>20.696352741921149</v>
      </c>
      <c r="Y7" s="1">
        <f>AVERAGE(ALL_DATA!Z17:Z19)</f>
        <v>8.8991375379870896E-2</v>
      </c>
      <c r="Z7" s="1">
        <f>AVERAGE(ALL_DATA!AA17:AA19)</f>
        <v>12.566134726899195</v>
      </c>
      <c r="AA7" s="1">
        <f>AVERAGE(ALL_DATA!AB17:AB19)</f>
        <v>28.580453386607839</v>
      </c>
      <c r="AB7" s="1">
        <f>AVERAGE(ALL_DATA!AC17:AC19)</f>
        <v>14.72803986976148</v>
      </c>
      <c r="AC7" s="1">
        <f>AVERAGE(ALL_DATA!AD17:AD19)</f>
        <v>23471.2802220146</v>
      </c>
      <c r="AD7" s="1">
        <f>AVERAGE(ALL_DATA!AE17:AE19)</f>
        <v>563.87551358426117</v>
      </c>
      <c r="AE7" s="1">
        <f>AVERAGE(ALL_DATA!AF17:AF19)</f>
        <v>24.345387379105585</v>
      </c>
      <c r="AF7" s="1">
        <f>AVERAGE(ALL_DATA!AG17:AG19)</f>
        <v>36.473984737654199</v>
      </c>
      <c r="AG7" s="1">
        <f>AVERAGE(ALL_DATA!AH17:AH19)</f>
        <v>1.7420384553279866</v>
      </c>
      <c r="AH7" s="1">
        <f>AVERAGE(ALL_DATA!AI17:AI19)</f>
        <v>44.394219002444316</v>
      </c>
      <c r="AI7" s="1">
        <f>AVERAGE(ALL_DATA!AJ17:AJ19)</f>
        <v>83.516263727669227</v>
      </c>
      <c r="AJ7" s="1">
        <f>AVERAGE(ALL_DATA!AK17:AK19)</f>
        <v>8.2618476151609568E-2</v>
      </c>
      <c r="AK7" s="1">
        <f>AVERAGE(ALL_DATA!AL17:AL19)</f>
        <v>0.37333333333333335</v>
      </c>
      <c r="AL7" s="1">
        <f>AVERAGE(ALL_DATA!AM17:AM19)</f>
        <v>3.436666666666667</v>
      </c>
      <c r="AM7" s="1">
        <f>AVERAGE(ALL_DATA!AN17:AN19)</f>
        <v>9.59</v>
      </c>
      <c r="AN7" s="1">
        <f>AVERAGE(ALL_DATA!AO17:AO19)</f>
        <v>139.78666666666666</v>
      </c>
      <c r="AO7" s="1">
        <f>AVERAGE(ALL_DATA!AP17:AP19)</f>
        <v>257.12666666666667</v>
      </c>
      <c r="AP7" s="1">
        <f>AVERAGE(ALL_DATA!AQ17:AQ19)</f>
        <v>41.235716321835206</v>
      </c>
      <c r="AQ7" s="1" t="s">
        <v>182</v>
      </c>
      <c r="AR7" s="1" t="s">
        <v>182</v>
      </c>
      <c r="AS7" s="1" t="s">
        <v>182</v>
      </c>
      <c r="AT7" s="1" t="s">
        <v>182</v>
      </c>
      <c r="AU7" s="1" t="s">
        <v>182</v>
      </c>
      <c r="AV7" s="1" t="s">
        <v>182</v>
      </c>
      <c r="AW7" s="1" t="s">
        <v>182</v>
      </c>
      <c r="AX7" s="1" t="s">
        <v>182</v>
      </c>
      <c r="AY7" s="1" t="s">
        <v>182</v>
      </c>
      <c r="AZ7" s="1" t="s">
        <v>182</v>
      </c>
      <c r="BA7" s="1" t="s">
        <v>182</v>
      </c>
      <c r="BB7" s="1" t="s">
        <v>182</v>
      </c>
      <c r="BC7" s="1">
        <f>AVERAGE(ALL_DATA!BD17:BD19)</f>
        <v>3.5999999999999997E-2</v>
      </c>
      <c r="BD7" s="1" t="s">
        <v>182</v>
      </c>
      <c r="BE7" s="1">
        <f>AVERAGE(ALL_DATA!BF17:BF19)</f>
        <v>7.3999999999999996E-2</v>
      </c>
      <c r="BF7" s="1" t="s">
        <v>182</v>
      </c>
      <c r="BG7" s="1" t="s">
        <v>182</v>
      </c>
      <c r="BH7" s="1">
        <f>AVERAGE(ALL_DATA!BI17:BI19)</f>
        <v>5.0000000000000001E-3</v>
      </c>
      <c r="BI7" s="1" t="s">
        <v>182</v>
      </c>
      <c r="BJ7" s="1" t="s">
        <v>182</v>
      </c>
      <c r="BK7" s="1" t="s">
        <v>182</v>
      </c>
      <c r="BL7" s="1" t="s">
        <v>182</v>
      </c>
      <c r="BM7" s="1">
        <f>AVERAGE(ALL_DATA!BN17:BN19)</f>
        <v>0.106</v>
      </c>
      <c r="BN7" s="1" t="s">
        <v>182</v>
      </c>
      <c r="BO7" s="1">
        <f>AVERAGE(ALL_DATA!BP17:BP19)</f>
        <v>3.9E-2</v>
      </c>
      <c r="BP7" s="1" t="s">
        <v>182</v>
      </c>
      <c r="BQ7" s="1" t="s">
        <v>182</v>
      </c>
      <c r="BR7" s="1" t="s">
        <v>182</v>
      </c>
      <c r="BS7" s="1" t="s">
        <v>182</v>
      </c>
      <c r="BT7" s="1">
        <f>AVERAGE(ALL_DATA!BU17:BU19)</f>
        <v>0.11</v>
      </c>
      <c r="BU7" s="1" t="s">
        <v>182</v>
      </c>
      <c r="BV7" s="1">
        <f>AVERAGE(ALL_DATA!BW17:BW19)</f>
        <v>9.8000000000000018E-2</v>
      </c>
      <c r="BW7" s="1" t="s">
        <v>182</v>
      </c>
      <c r="BX7" s="1" t="s">
        <v>182</v>
      </c>
      <c r="BY7" s="1" t="s">
        <v>182</v>
      </c>
      <c r="BZ7" s="1">
        <f>AVERAGE(ALL_DATA!CA17:CA19)</f>
        <v>48.838546986623356</v>
      </c>
      <c r="CA7" s="1">
        <f>AVERAGE(ALL_DATA!CB17:CB19)</f>
        <v>1.998</v>
      </c>
      <c r="CB7" s="1">
        <f>AVERAGE(ALL_DATA!CC17:CC19)</f>
        <v>8.0726666666666684</v>
      </c>
      <c r="CC7" s="1">
        <f>AVERAGE(ALL_DATA!CD17:CD19)</f>
        <v>141.94366666666664</v>
      </c>
      <c r="CD7" s="1">
        <f>AVERAGE(ALL_DATA!CE17:CE19)</f>
        <v>8.4009113333333332</v>
      </c>
      <c r="CE7" s="1">
        <f>AVERAGE(ALL_DATA!CF17:CF19)</f>
        <v>76.547904666666682</v>
      </c>
      <c r="CF7" s="1">
        <f>AVERAGE(ALL_DATA!CG17:CG19)</f>
        <v>15.05118433333333</v>
      </c>
    </row>
    <row r="8" spans="1:84" s="1" customFormat="1" ht="15.75" thickBot="1" x14ac:dyDescent="0.3">
      <c r="A8" s="1" t="s">
        <v>188</v>
      </c>
      <c r="B8" s="1" t="s">
        <v>79</v>
      </c>
      <c r="C8" s="1" t="s">
        <v>85</v>
      </c>
      <c r="D8" s="1" t="s">
        <v>83</v>
      </c>
      <c r="E8" s="2" t="s">
        <v>173</v>
      </c>
      <c r="F8" s="2" t="s">
        <v>174</v>
      </c>
      <c r="G8" s="3">
        <v>44172</v>
      </c>
      <c r="H8" s="4">
        <v>0.44791666666666669</v>
      </c>
      <c r="I8" s="1">
        <f>AVERAGE(ALL_DATA!J20:J22)</f>
        <v>6.7666666666666666</v>
      </c>
      <c r="J8" s="1">
        <f>AVERAGE(ALL_DATA!K20:K22)</f>
        <v>7.6864999999999997</v>
      </c>
      <c r="K8" s="1">
        <f>AVERAGE(ALL_DATA!L20:L22)</f>
        <v>5.6500000000000012</v>
      </c>
      <c r="L8" s="1">
        <f>AVERAGE(ALL_DATA!M20:M22)</f>
        <v>10.125</v>
      </c>
      <c r="M8" s="1">
        <f>AVERAGE(ALL_DATA!N20:N22)</f>
        <v>-35.700000000000003</v>
      </c>
      <c r="N8" s="1">
        <f>AVERAGE(ALL_DATA!O20:O22)</f>
        <v>13.5</v>
      </c>
      <c r="O8" s="1">
        <f>AVERAGE(ALL_DATA!P20:P22)</f>
        <v>538466662.71228325</v>
      </c>
      <c r="P8" s="1">
        <f>AVERAGE(ALL_DATA!Q20:Q22)</f>
        <v>10.222222222222221</v>
      </c>
      <c r="Q8" s="1">
        <f>AVERAGE(ALL_DATA!R20:R22)</f>
        <v>0.48888888888888887</v>
      </c>
      <c r="R8" s="1">
        <f>AVERAGE(ALL_DATA!S20:S22)</f>
        <v>0.15555555555555556</v>
      </c>
      <c r="S8" s="1">
        <f>AVERAGE(ALL_DATA!T20:T22)</f>
        <v>12.066666666666665</v>
      </c>
      <c r="T8" s="1">
        <f>AVERAGE(ALL_DATA!U20:U22)</f>
        <v>5.4974249883137531</v>
      </c>
      <c r="U8" s="1">
        <f>AVERAGE(ALL_DATA!V20:V22)</f>
        <v>6.4827092916938875</v>
      </c>
      <c r="V8" s="1">
        <f>AVERAGE(ALL_DATA!W20:W22)</f>
        <v>37.618530221152533</v>
      </c>
      <c r="W8" s="1">
        <f>AVERAGE(ALL_DATA!X20:X22)</f>
        <v>4328.3676373159569</v>
      </c>
      <c r="X8" s="1">
        <f>AVERAGE(ALL_DATA!Y20:Y22)</f>
        <v>22.853689302566981</v>
      </c>
      <c r="Y8" s="1">
        <f>AVERAGE(ALL_DATA!Z20:Z22)</f>
        <v>0.19962070490810971</v>
      </c>
      <c r="Z8" s="1">
        <f>AVERAGE(ALL_DATA!AA20:AA22)</f>
        <v>16.806690705678356</v>
      </c>
      <c r="AA8" s="1">
        <f>AVERAGE(ALL_DATA!AB20:AB22)</f>
        <v>34.331329967387056</v>
      </c>
      <c r="AB8" s="1">
        <f>AVERAGE(ALL_DATA!AC20:AC22)</f>
        <v>22.031018389945189</v>
      </c>
      <c r="AC8" s="1">
        <f>AVERAGE(ALL_DATA!AD20:AD22)</f>
        <v>26646.297139874194</v>
      </c>
      <c r="AD8" s="1">
        <f>AVERAGE(ALL_DATA!AE20:AE22)</f>
        <v>418.21165579504049</v>
      </c>
      <c r="AE8" s="1">
        <f>AVERAGE(ALL_DATA!AF20:AF22)</f>
        <v>30.6293365966926</v>
      </c>
      <c r="AF8" s="1">
        <f>AVERAGE(ALL_DATA!AG20:AG22)</f>
        <v>47.060939006133772</v>
      </c>
      <c r="AG8" s="1">
        <f>AVERAGE(ALL_DATA!AH20:AH22)</f>
        <v>3.1650035781436032</v>
      </c>
      <c r="AH8" s="1">
        <f>AVERAGE(ALL_DATA!AI20:AI22)</f>
        <v>36.678588542797996</v>
      </c>
      <c r="AI8" s="1">
        <f>AVERAGE(ALL_DATA!AJ20:AJ22)</f>
        <v>146.83095418152996</v>
      </c>
      <c r="AJ8" s="1">
        <f>AVERAGE(ALL_DATA!AK20:AK22)</f>
        <v>0.1408912303606166</v>
      </c>
      <c r="AK8" s="1">
        <f>AVERAGE(ALL_DATA!AL20:AL22)</f>
        <v>0</v>
      </c>
      <c r="AL8" s="1">
        <f>AVERAGE(ALL_DATA!AM20:AM22)</f>
        <v>0.65</v>
      </c>
      <c r="AM8" s="1">
        <f>AVERAGE(ALL_DATA!AN20:AN22)</f>
        <v>8.68</v>
      </c>
      <c r="AN8" s="1">
        <f>AVERAGE(ALL_DATA!AO20:AO22)</f>
        <v>103.72333333333331</v>
      </c>
      <c r="AO8" s="1">
        <f>AVERAGE(ALL_DATA!AP20:AP22)</f>
        <v>175.44999999999996</v>
      </c>
      <c r="AP8" s="1">
        <f>AVERAGE(ALL_DATA!AQ20:AQ22)</f>
        <v>33.258474851855077</v>
      </c>
      <c r="AQ8" s="1" t="s">
        <v>182</v>
      </c>
      <c r="AR8" s="1" t="s">
        <v>182</v>
      </c>
      <c r="AS8" s="1" t="s">
        <v>182</v>
      </c>
      <c r="AT8" s="1" t="s">
        <v>182</v>
      </c>
      <c r="AU8" s="1" t="s">
        <v>182</v>
      </c>
      <c r="AV8" s="1" t="s">
        <v>182</v>
      </c>
      <c r="AW8" s="1" t="s">
        <v>182</v>
      </c>
      <c r="AX8" s="1" t="s">
        <v>182</v>
      </c>
      <c r="AY8" s="1" t="s">
        <v>182</v>
      </c>
      <c r="AZ8" s="1" t="s">
        <v>182</v>
      </c>
      <c r="BA8" s="1" t="s">
        <v>182</v>
      </c>
      <c r="BB8" s="1" t="s">
        <v>182</v>
      </c>
      <c r="BC8" s="1">
        <f>AVERAGE(ALL_DATA!BD20:BD22)</f>
        <v>4.6000000000000006E-2</v>
      </c>
      <c r="BD8" s="1" t="s">
        <v>182</v>
      </c>
      <c r="BE8" s="1">
        <f>AVERAGE(ALL_DATA!BF20:BF22)</f>
        <v>8.6000000000000007E-2</v>
      </c>
      <c r="BF8" s="1" t="s">
        <v>182</v>
      </c>
      <c r="BG8" s="1" t="s">
        <v>182</v>
      </c>
      <c r="BH8" s="1">
        <f>AVERAGE(ALL_DATA!BI20:BI22)</f>
        <v>4.0000000000000001E-3</v>
      </c>
      <c r="BI8" s="1" t="s">
        <v>182</v>
      </c>
      <c r="BJ8" s="1" t="s">
        <v>182</v>
      </c>
      <c r="BK8" s="1" t="s">
        <v>182</v>
      </c>
      <c r="BL8" s="1" t="s">
        <v>182</v>
      </c>
      <c r="BM8" s="1">
        <f>AVERAGE(ALL_DATA!BN20:BN22)</f>
        <v>0.14099999999999999</v>
      </c>
      <c r="BN8" s="1" t="s">
        <v>182</v>
      </c>
      <c r="BO8" s="1">
        <f>AVERAGE(ALL_DATA!BP20:BP22)</f>
        <v>2.8000000000000001E-2</v>
      </c>
      <c r="BP8" s="1" t="s">
        <v>182</v>
      </c>
      <c r="BQ8" s="1" t="s">
        <v>182</v>
      </c>
      <c r="BR8" s="1" t="s">
        <v>182</v>
      </c>
      <c r="BS8" s="1" t="s">
        <v>182</v>
      </c>
      <c r="BT8" s="1">
        <f>AVERAGE(ALL_DATA!BU20:BU22)</f>
        <v>0.08</v>
      </c>
      <c r="BU8" s="1" t="s">
        <v>182</v>
      </c>
      <c r="BV8" s="1">
        <f>AVERAGE(ALL_DATA!BW20:BW22)</f>
        <v>0.112</v>
      </c>
      <c r="BW8" s="1" t="s">
        <v>182</v>
      </c>
      <c r="BX8" s="1" t="s">
        <v>182</v>
      </c>
      <c r="BY8" s="1">
        <f>AVERAGE(ALL_DATA!BZ20:BZ22)</f>
        <v>4.5000000000000005E-2</v>
      </c>
      <c r="BZ8" s="1">
        <f>AVERAGE(ALL_DATA!CA20:CA22)</f>
        <v>52.552641931940236</v>
      </c>
      <c r="CA8" s="1">
        <f>AVERAGE(ALL_DATA!CB20:CB22)</f>
        <v>1.6683333333333332</v>
      </c>
      <c r="CB8" s="1">
        <f>AVERAGE(ALL_DATA!CC20:CC22)</f>
        <v>7.2909999999999995</v>
      </c>
      <c r="CC8" s="1">
        <f>AVERAGE(ALL_DATA!CD20:CD22)</f>
        <v>62.028666666666673</v>
      </c>
      <c r="CD8" s="1">
        <f>AVERAGE(ALL_DATA!CE20:CE22)</f>
        <v>11.380559666666665</v>
      </c>
      <c r="CE8" s="1">
        <f>AVERAGE(ALL_DATA!CF20:CF22)</f>
        <v>77.710436999999999</v>
      </c>
      <c r="CF8" s="1">
        <f>AVERAGE(ALL_DATA!CG20:CG22)</f>
        <v>10.909002000000001</v>
      </c>
    </row>
    <row r="9" spans="1:84" s="1" customFormat="1" ht="15.75" thickBot="1" x14ac:dyDescent="0.3">
      <c r="A9" s="1" t="s">
        <v>189</v>
      </c>
      <c r="B9" s="1" t="s">
        <v>80</v>
      </c>
      <c r="C9" s="1" t="s">
        <v>85</v>
      </c>
      <c r="D9" s="1" t="s">
        <v>82</v>
      </c>
      <c r="E9" s="2" t="s">
        <v>175</v>
      </c>
      <c r="F9" s="2" t="s">
        <v>176</v>
      </c>
      <c r="G9" s="3">
        <v>44166</v>
      </c>
      <c r="H9" s="4">
        <v>0.39583333333333331</v>
      </c>
      <c r="I9" s="1">
        <f>AVERAGE(ALL_DATA!J23:J25)</f>
        <v>6.4333333333333327</v>
      </c>
      <c r="J9" s="1">
        <f>AVERAGE(ALL_DATA!K23:K25)</f>
        <v>7.1853333333333325</v>
      </c>
      <c r="K9" s="1">
        <f>AVERAGE(ALL_DATA!L23:L25)</f>
        <v>0.40000000000000008</v>
      </c>
      <c r="L9" s="1">
        <f>AVERAGE(ALL_DATA!M23:M25)</f>
        <v>1.0063333333333333</v>
      </c>
      <c r="M9" s="1">
        <f>AVERAGE(ALL_DATA!N23:N25)</f>
        <v>-7.6999999999999993</v>
      </c>
      <c r="N9" s="1">
        <f>AVERAGE(ALL_DATA!O23:O25)</f>
        <v>11.333333333333334</v>
      </c>
      <c r="O9" s="1">
        <f>AVERAGE(ALL_DATA!P23:P25)</f>
        <v>600795324.50658464</v>
      </c>
      <c r="P9" s="1">
        <f>AVERAGE(ALL_DATA!Q23:Q25)</f>
        <v>1.9944444444444445</v>
      </c>
      <c r="Q9" s="1">
        <f>AVERAGE(ALL_DATA!R23:R25)</f>
        <v>0.42777777777777776</v>
      </c>
      <c r="R9" s="1">
        <f>AVERAGE(ALL_DATA!S23:S25)</f>
        <v>0.48888888888888893</v>
      </c>
      <c r="S9" s="1">
        <f>AVERAGE(ALL_DATA!T23:T25)</f>
        <v>4.8203703703703704</v>
      </c>
      <c r="T9" s="1">
        <f>AVERAGE(ALL_DATA!U23:U25)</f>
        <v>21.310078289963688</v>
      </c>
      <c r="U9" s="1">
        <f>AVERAGE(ALL_DATA!V23:V25)</f>
        <v>47.174495987252762</v>
      </c>
      <c r="V9" s="1">
        <f>AVERAGE(ALL_DATA!W23:W25)</f>
        <v>31.054685618380404</v>
      </c>
      <c r="W9" s="1">
        <f>AVERAGE(ALL_DATA!X23:X25)</f>
        <v>6794.5510484041015</v>
      </c>
      <c r="X9" s="1">
        <f>AVERAGE(ALL_DATA!Y23:Y25)</f>
        <v>12.264794021499812</v>
      </c>
      <c r="Y9" s="1">
        <f>AVERAGE(ALL_DATA!Z23:Z25)</f>
        <v>7.2085412352074871E-2</v>
      </c>
      <c r="Z9" s="1">
        <f>AVERAGE(ALL_DATA!AA23:AA25)</f>
        <v>11.228284705997062</v>
      </c>
      <c r="AA9" s="1">
        <f>AVERAGE(ALL_DATA!AB23:AB25)</f>
        <v>31.69130150257422</v>
      </c>
      <c r="AB9" s="1">
        <f>AVERAGE(ALL_DATA!AC23:AC25)</f>
        <v>10.816928401856805</v>
      </c>
      <c r="AC9" s="1">
        <f>AVERAGE(ALL_DATA!AD23:AD25)</f>
        <v>23122.671165665815</v>
      </c>
      <c r="AD9" s="1">
        <f>AVERAGE(ALL_DATA!AE23:AE25)</f>
        <v>472.43322127356902</v>
      </c>
      <c r="AE9" s="1">
        <f>AVERAGE(ALL_DATA!AF23:AF25)</f>
        <v>24.645241948253055</v>
      </c>
      <c r="AF9" s="1">
        <f>AVERAGE(ALL_DATA!AG23:AG25)</f>
        <v>34.143899544856559</v>
      </c>
      <c r="AG9" s="1">
        <f>AVERAGE(ALL_DATA!AH23:AH25)</f>
        <v>2.0567157768971769</v>
      </c>
      <c r="AH9" s="1">
        <f>AVERAGE(ALL_DATA!AI23:AI25)</f>
        <v>34.939940537675135</v>
      </c>
      <c r="AI9" s="1">
        <f>AVERAGE(ALL_DATA!AJ23:AJ25)</f>
        <v>96.101247528408848</v>
      </c>
      <c r="AJ9" s="1">
        <f>AVERAGE(ALL_DATA!AK23:AK25)</f>
        <v>6.5214694219708227E-2</v>
      </c>
      <c r="AK9" s="1">
        <f>AVERAGE(ALL_DATA!AL23:AL25)</f>
        <v>0.03</v>
      </c>
      <c r="AL9" s="1">
        <f>AVERAGE(ALL_DATA!AM23:AM25)</f>
        <v>0.29333333333333333</v>
      </c>
      <c r="AM9" s="1">
        <f>AVERAGE(ALL_DATA!AN23:AN25)</f>
        <v>1.18</v>
      </c>
      <c r="AN9" s="1">
        <f>AVERAGE(ALL_DATA!AO23:AO25)</f>
        <v>282.25666666666666</v>
      </c>
      <c r="AO9" s="1">
        <f>AVERAGE(ALL_DATA!AP23:AP25)</f>
        <v>156.55533333333332</v>
      </c>
      <c r="AP9" s="1">
        <f>AVERAGE(ALL_DATA!AQ23:AQ25)</f>
        <v>50.651473351217355</v>
      </c>
      <c r="AQ9" s="1" t="s">
        <v>182</v>
      </c>
      <c r="AR9" s="1" t="s">
        <v>182</v>
      </c>
      <c r="AS9" s="1" t="s">
        <v>182</v>
      </c>
      <c r="AT9" s="1" t="s">
        <v>182</v>
      </c>
      <c r="AU9" s="1" t="s">
        <v>182</v>
      </c>
      <c r="AV9" s="1" t="s">
        <v>182</v>
      </c>
      <c r="AW9" s="1" t="s">
        <v>182</v>
      </c>
      <c r="AX9" s="1" t="s">
        <v>182</v>
      </c>
      <c r="AY9" s="1" t="s">
        <v>182</v>
      </c>
      <c r="AZ9" s="1" t="s">
        <v>182</v>
      </c>
      <c r="BA9" s="1" t="s">
        <v>182</v>
      </c>
      <c r="BB9" s="1" t="s">
        <v>182</v>
      </c>
      <c r="BC9" s="1" t="s">
        <v>182</v>
      </c>
      <c r="BD9" s="1" t="s">
        <v>182</v>
      </c>
      <c r="BE9" s="1" t="s">
        <v>182</v>
      </c>
      <c r="BF9" s="1" t="s">
        <v>182</v>
      </c>
      <c r="BG9" s="1" t="s">
        <v>182</v>
      </c>
      <c r="BH9" s="1" t="s">
        <v>182</v>
      </c>
      <c r="BI9" s="1" t="s">
        <v>182</v>
      </c>
      <c r="BJ9" s="1" t="s">
        <v>182</v>
      </c>
      <c r="BK9" s="1" t="s">
        <v>182</v>
      </c>
      <c r="BL9" s="1" t="s">
        <v>182</v>
      </c>
      <c r="BM9" s="1">
        <f>AVERAGE(ALL_DATA!BN23:BN25)</f>
        <v>2.4000000000000004E-2</v>
      </c>
      <c r="BN9" s="1" t="s">
        <v>182</v>
      </c>
      <c r="BO9" s="1" t="s">
        <v>182</v>
      </c>
      <c r="BP9" s="1" t="s">
        <v>182</v>
      </c>
      <c r="BQ9" s="1" t="s">
        <v>182</v>
      </c>
      <c r="BR9" s="1" t="s">
        <v>182</v>
      </c>
      <c r="BS9" s="1" t="s">
        <v>182</v>
      </c>
      <c r="BT9" s="1" t="s">
        <v>182</v>
      </c>
      <c r="BU9" s="1" t="s">
        <v>182</v>
      </c>
      <c r="BV9" s="1" t="s">
        <v>182</v>
      </c>
      <c r="BW9" s="1" t="s">
        <v>182</v>
      </c>
      <c r="BX9" s="1" t="s">
        <v>182</v>
      </c>
      <c r="BY9" s="1" t="s">
        <v>182</v>
      </c>
      <c r="BZ9" s="1">
        <f>AVERAGE(ALL_DATA!CA23:CA25)</f>
        <v>63.2907558959472</v>
      </c>
      <c r="CA9" s="1">
        <f>AVERAGE(ALL_DATA!CB23:CB25)</f>
        <v>1.9910000000000003</v>
      </c>
      <c r="CB9" s="1">
        <f>AVERAGE(ALL_DATA!CC23:CC25)</f>
        <v>8.1560000000000006</v>
      </c>
      <c r="CC9" s="1">
        <f>AVERAGE(ALL_DATA!CD23:CD25)</f>
        <v>39.198333333333331</v>
      </c>
      <c r="CD9" s="1">
        <f>AVERAGE(ALL_DATA!CE23:CE25)</f>
        <v>8.3874780000000015</v>
      </c>
      <c r="CE9" s="1">
        <f>AVERAGE(ALL_DATA!CF23:CF25)</f>
        <v>83.589843333333334</v>
      </c>
      <c r="CF9" s="1">
        <f>AVERAGE(ALL_DATA!CG23:CG25)</f>
        <v>8.0226783333333334</v>
      </c>
    </row>
    <row r="10" spans="1:84" s="61" customFormat="1" ht="15.75" thickBot="1" x14ac:dyDescent="0.3">
      <c r="A10" s="61" t="s">
        <v>191</v>
      </c>
      <c r="B10" s="61" t="s">
        <v>64</v>
      </c>
      <c r="C10" s="61" t="s">
        <v>158</v>
      </c>
      <c r="D10" s="61" t="s">
        <v>82</v>
      </c>
      <c r="E10" s="62" t="s">
        <v>161</v>
      </c>
      <c r="F10" s="62" t="s">
        <v>162</v>
      </c>
      <c r="G10" s="63">
        <v>44293</v>
      </c>
      <c r="H10" s="64">
        <v>0.40277777777777773</v>
      </c>
      <c r="I10" s="61">
        <f>AVERAGE(ALL_DATA!J26:J28)</f>
        <v>10.299999999999999</v>
      </c>
      <c r="J10" s="61">
        <f>AVERAGE(ALL_DATA!K26:K28)</f>
        <v>7.3979999999999997</v>
      </c>
      <c r="K10" s="61">
        <f>AVERAGE(ALL_DATA!L26:L28)</f>
        <v>0.69999999999999984</v>
      </c>
      <c r="L10" s="61">
        <f>AVERAGE(ALL_DATA!M26:M28)</f>
        <v>1.5226999999999997</v>
      </c>
      <c r="M10" s="61">
        <f>AVERAGE(ALL_DATA!N26:N28)</f>
        <v>-39.133333333333333</v>
      </c>
      <c r="N10" s="61">
        <f>AVERAGE(ALL_DATA!O26:O28)</f>
        <v>8.1666666666666661</v>
      </c>
      <c r="O10" s="61">
        <f>AVERAGE(ALL_DATA!P26:P28)</f>
        <v>730538406.3173008</v>
      </c>
      <c r="P10" s="61">
        <f>AVERAGE(ALL_DATA!Q26:Q28)</f>
        <v>2.2888888888888892</v>
      </c>
      <c r="Q10" s="61">
        <f>AVERAGE(ALL_DATA!R26:R28)</f>
        <v>3.5444444444444443</v>
      </c>
      <c r="R10" s="61">
        <f>AVERAGE(ALL_DATA!S26:S28)</f>
        <v>0.64444444444444438</v>
      </c>
      <c r="S10" s="61">
        <f>AVERAGE(ALL_DATA!T26:T28)</f>
        <v>7.9777777777777779</v>
      </c>
      <c r="T10" s="61">
        <f>AVERAGE(ALL_DATA!U26:U28)</f>
        <v>17.493750098152489</v>
      </c>
      <c r="U10" s="61">
        <f>AVERAGE(ALL_DATA!V26:V28)</f>
        <v>27.573639504924074</v>
      </c>
      <c r="V10" s="61">
        <f>AVERAGE(ALL_DATA!W26:W28)</f>
        <v>39.167560152679151</v>
      </c>
      <c r="W10" s="61">
        <f>AVERAGE(ALL_DATA!X26:X28)</f>
        <v>4506.1366666666663</v>
      </c>
      <c r="X10" s="61">
        <f>AVERAGE(ALL_DATA!Y26:Y28)</f>
        <v>8.4500000000000011</v>
      </c>
      <c r="Y10" s="61">
        <f>AVERAGE(ALL_DATA!Z26:Z28)</f>
        <v>9.3333333333333338E-2</v>
      </c>
      <c r="Z10" s="61">
        <f>AVERAGE(ALL_DATA!AA26:AA28)</f>
        <v>6.72</v>
      </c>
      <c r="AA10" s="61">
        <f>AVERAGE(ALL_DATA!AB26:AB28)</f>
        <v>24.830000000000002</v>
      </c>
      <c r="AB10" s="61">
        <f>AVERAGE(ALL_DATA!AC26:AC28)</f>
        <v>10.956666666666669</v>
      </c>
      <c r="AC10" s="61">
        <f>AVERAGE(ALL_DATA!AD26:AD28)</f>
        <v>21444.523333333331</v>
      </c>
      <c r="AD10" s="61">
        <f>AVERAGE(ALL_DATA!AE26:AE28)</f>
        <v>430.30666666666667</v>
      </c>
      <c r="AE10" s="61">
        <f>AVERAGE(ALL_DATA!AF26:AF28)</f>
        <v>18.403333333333336</v>
      </c>
      <c r="AF10" s="61">
        <f>AVERAGE(ALL_DATA!AG26:AG28)</f>
        <v>13.88</v>
      </c>
      <c r="AG10" s="61" t="s">
        <v>182</v>
      </c>
      <c r="AH10" s="61">
        <f>AVERAGE(ALL_DATA!AI26:AI28)</f>
        <v>29.823333333333334</v>
      </c>
      <c r="AI10" s="61">
        <f>AVERAGE(ALL_DATA!AJ26:AJ28)</f>
        <v>74.493333333333325</v>
      </c>
      <c r="AJ10" s="61">
        <f>AVERAGE(ALL_DATA!AK26:AK28)</f>
        <v>6.3333333333333339E-2</v>
      </c>
      <c r="AK10" s="61">
        <f>AVERAGE(ALL_DATA!AL26:AL28)</f>
        <v>9.9333333333333329E-2</v>
      </c>
      <c r="AL10" s="61">
        <f>AVERAGE(ALL_DATA!AM26:AM28)</f>
        <v>0.26466666666666666</v>
      </c>
      <c r="AM10" s="61">
        <f>AVERAGE(ALL_DATA!AN26:AN28)</f>
        <v>1.67</v>
      </c>
      <c r="AN10" s="61">
        <f>AVERAGE(ALL_DATA!AO26:AO28)</f>
        <v>388.86133333333328</v>
      </c>
      <c r="AO10" s="61">
        <f>AVERAGE(ALL_DATA!AP26:AP28)</f>
        <v>175.25466666666668</v>
      </c>
      <c r="AP10" s="61">
        <f>AVERAGE(ALL_DATA!AQ26:AQ28)</f>
        <v>38.89196144966656</v>
      </c>
      <c r="AQ10" s="61" t="s">
        <v>182</v>
      </c>
      <c r="AR10" s="61" t="s">
        <v>182</v>
      </c>
      <c r="AS10" s="61" t="s">
        <v>182</v>
      </c>
      <c r="AT10" s="61" t="s">
        <v>182</v>
      </c>
      <c r="AU10" s="61" t="s">
        <v>182</v>
      </c>
      <c r="AV10" s="61" t="s">
        <v>182</v>
      </c>
      <c r="AW10" s="61" t="s">
        <v>182</v>
      </c>
      <c r="AX10" s="61" t="s">
        <v>182</v>
      </c>
      <c r="AY10" s="61" t="s">
        <v>182</v>
      </c>
      <c r="AZ10" s="61" t="s">
        <v>182</v>
      </c>
      <c r="BA10" s="61" t="s">
        <v>182</v>
      </c>
      <c r="BB10" s="61" t="s">
        <v>182</v>
      </c>
      <c r="BC10" s="61" t="s">
        <v>182</v>
      </c>
      <c r="BD10" s="61" t="s">
        <v>182</v>
      </c>
      <c r="BE10" s="61" t="s">
        <v>182</v>
      </c>
      <c r="BF10" s="61" t="s">
        <v>182</v>
      </c>
      <c r="BG10" s="61" t="s">
        <v>182</v>
      </c>
      <c r="BH10" s="61" t="s">
        <v>182</v>
      </c>
      <c r="BI10" s="61" t="s">
        <v>182</v>
      </c>
      <c r="BJ10" s="61" t="s">
        <v>182</v>
      </c>
      <c r="BK10" s="61" t="s">
        <v>182</v>
      </c>
      <c r="BL10" s="61" t="s">
        <v>182</v>
      </c>
      <c r="BM10" s="61" t="s">
        <v>182</v>
      </c>
      <c r="BN10" s="61" t="s">
        <v>182</v>
      </c>
      <c r="BO10" s="61" t="s">
        <v>182</v>
      </c>
      <c r="BP10" s="61" t="s">
        <v>182</v>
      </c>
      <c r="BQ10" s="61" t="s">
        <v>182</v>
      </c>
      <c r="BR10" s="61" t="s">
        <v>182</v>
      </c>
      <c r="BS10" s="61" t="s">
        <v>182</v>
      </c>
      <c r="BT10" s="61" t="s">
        <v>182</v>
      </c>
      <c r="BU10" s="61" t="s">
        <v>182</v>
      </c>
      <c r="BV10" s="61" t="s">
        <v>182</v>
      </c>
      <c r="BW10" s="61" t="s">
        <v>182</v>
      </c>
      <c r="BX10" s="61" t="s">
        <v>182</v>
      </c>
      <c r="BY10" s="61">
        <f>AVERAGE(ALL_DATA!BZ26:BZ28)</f>
        <v>2.5999999999999999E-2</v>
      </c>
      <c r="BZ10" s="61">
        <f>AVERAGE(ALL_DATA!CA26:CA28)</f>
        <v>60.380183444854104</v>
      </c>
      <c r="CA10" s="61">
        <f>AVERAGE(ALL_DATA!CB26:CB28)</f>
        <v>2.4676666666666667</v>
      </c>
      <c r="CB10" s="61">
        <f>AVERAGE(ALL_DATA!CC26:CC28)</f>
        <v>43.617333333333335</v>
      </c>
      <c r="CC10" s="61">
        <f>AVERAGE(ALL_DATA!CD26:CD28)</f>
        <v>408.32499999999999</v>
      </c>
      <c r="CD10" s="61">
        <f>AVERAGE(ALL_DATA!CE26:CE28)</f>
        <v>7.3129483333333338</v>
      </c>
      <c r="CE10" s="61">
        <f>AVERAGE(ALL_DATA!CF26:CF28)</f>
        <v>63.345387999999993</v>
      </c>
      <c r="CF10" s="61">
        <f>AVERAGE(ALL_DATA!CG26:CG28)</f>
        <v>29.341664666666663</v>
      </c>
    </row>
    <row r="11" spans="1:84" s="61" customFormat="1" ht="15.75" thickBot="1" x14ac:dyDescent="0.3">
      <c r="A11" s="61" t="s">
        <v>192</v>
      </c>
      <c r="B11" s="61" t="s">
        <v>74</v>
      </c>
      <c r="C11" s="61" t="s">
        <v>158</v>
      </c>
      <c r="D11" s="61" t="s">
        <v>83</v>
      </c>
      <c r="E11" s="62" t="s">
        <v>163</v>
      </c>
      <c r="F11" s="62" t="s">
        <v>164</v>
      </c>
      <c r="G11" s="63">
        <v>44294</v>
      </c>
      <c r="H11" s="64">
        <v>0.44791666666666669</v>
      </c>
      <c r="I11" s="61">
        <f>AVERAGE(ALL_DATA!J29:J31)</f>
        <v>10.833333333333334</v>
      </c>
      <c r="J11" s="61">
        <f>AVERAGE(ALL_DATA!K29:K31)</f>
        <v>7.2836666666666661</v>
      </c>
      <c r="K11" s="61">
        <f>AVERAGE(ALL_DATA!L29:L31)</f>
        <v>2.0333333333333332</v>
      </c>
      <c r="L11" s="61">
        <f>AVERAGE(ALL_DATA!M29:M31)</f>
        <v>3.5947</v>
      </c>
      <c r="M11" s="61">
        <f>AVERAGE(ALL_DATA!N29:N31)</f>
        <v>-33.1</v>
      </c>
      <c r="N11" s="61">
        <f>AVERAGE(ALL_DATA!O29:O31)</f>
        <v>17.333333333333332</v>
      </c>
      <c r="O11" s="61">
        <f>AVERAGE(ALL_DATA!P29:P31)</f>
        <v>1850331477.5160601</v>
      </c>
      <c r="P11" s="61">
        <f>AVERAGE(ALL_DATA!Q29:Q31)</f>
        <v>2.8444444444444446</v>
      </c>
      <c r="Q11" s="61">
        <f>AVERAGE(ALL_DATA!R29:R31)</f>
        <v>19.022222222222222</v>
      </c>
      <c r="R11" s="61">
        <f>AVERAGE(ALL_DATA!S29:S31)</f>
        <v>1.6888888888888889</v>
      </c>
      <c r="S11" s="61">
        <f>AVERAGE(ALL_DATA!T29:T31)</f>
        <v>25.599999999999998</v>
      </c>
      <c r="T11" s="61">
        <f>AVERAGE(ALL_DATA!U29:U31)</f>
        <v>17.982747986015301</v>
      </c>
      <c r="U11" s="61">
        <f>AVERAGE(ALL_DATA!V29:V31)</f>
        <v>64.078629602020499</v>
      </c>
      <c r="V11" s="61">
        <f>AVERAGE(ALL_DATA!W29:W31)</f>
        <v>22.187187813355791</v>
      </c>
      <c r="W11" s="61">
        <f>AVERAGE(ALL_DATA!X29:X31)</f>
        <v>4940.7533333333331</v>
      </c>
      <c r="X11" s="61">
        <f>AVERAGE(ALL_DATA!Y29:Y31)</f>
        <v>19.830000000000002</v>
      </c>
      <c r="Y11" s="61">
        <f>AVERAGE(ALL_DATA!Z29:Z31)</f>
        <v>0.10333333333333335</v>
      </c>
      <c r="Z11" s="61">
        <f>AVERAGE(ALL_DATA!AA29:AA31)</f>
        <v>8.7800000000000011</v>
      </c>
      <c r="AA11" s="61">
        <f>AVERAGE(ALL_DATA!AB29:AB31)</f>
        <v>29.756666666666671</v>
      </c>
      <c r="AB11" s="61">
        <f>AVERAGE(ALL_DATA!AC29:AC31)</f>
        <v>14.469999999999999</v>
      </c>
      <c r="AC11" s="61">
        <f>AVERAGE(ALL_DATA!AD29:AD31)</f>
        <v>28271.910000000003</v>
      </c>
      <c r="AD11" s="61">
        <f>AVERAGE(ALL_DATA!AE29:AE31)</f>
        <v>641.30333333333328</v>
      </c>
      <c r="AE11" s="61">
        <f>AVERAGE(ALL_DATA!AF29:AF31)</f>
        <v>23.49</v>
      </c>
      <c r="AF11" s="61">
        <f>AVERAGE(ALL_DATA!AG29:AG31)</f>
        <v>14.11</v>
      </c>
      <c r="AG11" s="61" t="s">
        <v>182</v>
      </c>
      <c r="AH11" s="61">
        <f>AVERAGE(ALL_DATA!AI29:AI31)</f>
        <v>44.586666666666666</v>
      </c>
      <c r="AI11" s="61">
        <f>AVERAGE(ALL_DATA!AJ29:AJ31)</f>
        <v>95.763333333333321</v>
      </c>
      <c r="AJ11" s="61">
        <f>AVERAGE(ALL_DATA!AK29:AK31)</f>
        <v>0.08</v>
      </c>
      <c r="AK11" s="61">
        <f>AVERAGE(ALL_DATA!AL29:AL31)</f>
        <v>0</v>
      </c>
      <c r="AL11" s="61">
        <f>AVERAGE(ALL_DATA!AM29:AM31)</f>
        <v>0.375</v>
      </c>
      <c r="AM11" s="61">
        <f>AVERAGE(ALL_DATA!AN29:AN31)</f>
        <v>8.0776666666666674</v>
      </c>
      <c r="AN11" s="61">
        <f>AVERAGE(ALL_DATA!AO29:AO31)</f>
        <v>341.49633333333333</v>
      </c>
      <c r="AO11" s="61">
        <f>AVERAGE(ALL_DATA!AP29:AP31)</f>
        <v>150.14166666666665</v>
      </c>
      <c r="AP11" s="61">
        <f>AVERAGE(ALL_DATA!AQ29:AQ31)</f>
        <v>51.68043321315016</v>
      </c>
      <c r="AQ11" s="61" t="s">
        <v>182</v>
      </c>
      <c r="AR11" s="61" t="s">
        <v>182</v>
      </c>
      <c r="AS11" s="61" t="s">
        <v>182</v>
      </c>
      <c r="AT11" s="61" t="s">
        <v>182</v>
      </c>
      <c r="AU11" s="61" t="s">
        <v>182</v>
      </c>
      <c r="AV11" s="61" t="s">
        <v>182</v>
      </c>
      <c r="AW11" s="61" t="s">
        <v>182</v>
      </c>
      <c r="AX11" s="61" t="s">
        <v>182</v>
      </c>
      <c r="AY11" s="61" t="s">
        <v>182</v>
      </c>
      <c r="AZ11" s="61" t="s">
        <v>182</v>
      </c>
      <c r="BA11" s="61" t="s">
        <v>182</v>
      </c>
      <c r="BB11" s="61" t="s">
        <v>182</v>
      </c>
      <c r="BC11" s="61" t="s">
        <v>182</v>
      </c>
      <c r="BD11" s="61" t="s">
        <v>182</v>
      </c>
      <c r="BE11" s="61" t="s">
        <v>182</v>
      </c>
      <c r="BF11" s="61" t="s">
        <v>182</v>
      </c>
      <c r="BG11" s="61" t="s">
        <v>182</v>
      </c>
      <c r="BH11" s="61" t="s">
        <v>182</v>
      </c>
      <c r="BI11" s="61" t="s">
        <v>182</v>
      </c>
      <c r="BJ11" s="61" t="s">
        <v>182</v>
      </c>
      <c r="BK11" s="61" t="s">
        <v>182</v>
      </c>
      <c r="BL11" s="61" t="s">
        <v>182</v>
      </c>
      <c r="BM11" s="61">
        <f>AVERAGE(ALL_DATA!BN29:BN31)</f>
        <v>3.3000000000000002E-2</v>
      </c>
      <c r="BN11" s="61" t="s">
        <v>182</v>
      </c>
      <c r="BO11" s="61" t="s">
        <v>182</v>
      </c>
      <c r="BP11" s="61" t="s">
        <v>182</v>
      </c>
      <c r="BQ11" s="61" t="s">
        <v>182</v>
      </c>
      <c r="BR11" s="61" t="s">
        <v>182</v>
      </c>
      <c r="BS11" s="61" t="s">
        <v>182</v>
      </c>
      <c r="BT11" s="61" t="s">
        <v>182</v>
      </c>
      <c r="BU11" s="61" t="s">
        <v>182</v>
      </c>
      <c r="BV11" s="61" t="s">
        <v>182</v>
      </c>
      <c r="BW11" s="61" t="s">
        <v>182</v>
      </c>
      <c r="BX11" s="61" t="s">
        <v>182</v>
      </c>
      <c r="BY11" s="61" t="s">
        <v>182</v>
      </c>
      <c r="BZ11" s="61">
        <f>AVERAGE(ALL_DATA!CA29:CA31)</f>
        <v>66.950350061526279</v>
      </c>
      <c r="CA11" s="61">
        <f>AVERAGE(ALL_DATA!CB29:CB31)</f>
        <v>1.9613333333333334</v>
      </c>
      <c r="CB11" s="61">
        <f>AVERAGE(ALL_DATA!CC29:CC31)</f>
        <v>8.5123333333333324</v>
      </c>
      <c r="CC11" s="61">
        <f>AVERAGE(ALL_DATA!CD29:CD31)</f>
        <v>58.615333333333332</v>
      </c>
      <c r="CD11" s="61">
        <f>AVERAGE(ALL_DATA!CE29:CE31)</f>
        <v>8.6726466666666671</v>
      </c>
      <c r="CE11" s="61">
        <f>AVERAGE(ALL_DATA!CF29:CF31)</f>
        <v>79.804508333333331</v>
      </c>
      <c r="CF11" s="61">
        <f>AVERAGE(ALL_DATA!CG29:CG31)</f>
        <v>11.522844666666664</v>
      </c>
    </row>
    <row r="12" spans="1:84" s="61" customFormat="1" ht="15.75" thickBot="1" x14ac:dyDescent="0.3">
      <c r="A12" s="61" t="s">
        <v>193</v>
      </c>
      <c r="B12" s="61" t="s">
        <v>75</v>
      </c>
      <c r="C12" s="61" t="s">
        <v>158</v>
      </c>
      <c r="D12" s="61" t="s">
        <v>84</v>
      </c>
      <c r="E12" s="62" t="s">
        <v>165</v>
      </c>
      <c r="F12" s="62" t="s">
        <v>166</v>
      </c>
      <c r="G12" s="63">
        <v>44298</v>
      </c>
      <c r="H12" s="64">
        <v>0.42291666666666666</v>
      </c>
      <c r="I12" s="61">
        <f>AVERAGE(ALL_DATA!J32:J34)</f>
        <v>10.433333333333334</v>
      </c>
      <c r="J12" s="61">
        <f>AVERAGE(ALL_DATA!K32:K34)</f>
        <v>7.6113333333333344</v>
      </c>
      <c r="K12" s="61">
        <f>AVERAGE(ALL_DATA!L32:L34)</f>
        <v>33.93333333333333</v>
      </c>
      <c r="L12" s="61">
        <f>AVERAGE(ALL_DATA!M32:M34)</f>
        <v>53.167300000000004</v>
      </c>
      <c r="M12" s="61">
        <f>AVERAGE(ALL_DATA!N32:N34)</f>
        <v>-50</v>
      </c>
      <c r="N12" s="61">
        <f>AVERAGE(ALL_DATA!O32:O34)</f>
        <v>7.5</v>
      </c>
      <c r="O12" s="61">
        <f>AVERAGE(ALL_DATA!P32:P34)</f>
        <v>7977518201.2847977</v>
      </c>
      <c r="P12" s="61">
        <f>AVERAGE(ALL_DATA!Q32:Q34)</f>
        <v>134.08888888888887</v>
      </c>
      <c r="Q12" s="61">
        <f>AVERAGE(ALL_DATA!R32:R34)</f>
        <v>5.333333333333333</v>
      </c>
      <c r="R12" s="61">
        <f>AVERAGE(ALL_DATA!S32:S34)</f>
        <v>2.088888888888889</v>
      </c>
      <c r="S12" s="61">
        <f>AVERAGE(ALL_DATA!T32:T34)</f>
        <v>143.57037037037037</v>
      </c>
      <c r="T12" s="61">
        <f>AVERAGE(ALL_DATA!U32:U34)</f>
        <v>12.693456153568418</v>
      </c>
      <c r="U12" s="61">
        <f>AVERAGE(ALL_DATA!V32:V34)</f>
        <v>16.974285561362077</v>
      </c>
      <c r="V12" s="61">
        <f>AVERAGE(ALL_DATA!W32:W34)</f>
        <v>42.777965610177624</v>
      </c>
      <c r="W12" s="61">
        <f>AVERAGE(ALL_DATA!X32:X34)</f>
        <v>4169.1533333333336</v>
      </c>
      <c r="X12" s="61">
        <f>AVERAGE(ALL_DATA!Y32:Y34)</f>
        <v>11.183333333333332</v>
      </c>
      <c r="Y12" s="61">
        <f>AVERAGE(ALL_DATA!Z32:Z34)</f>
        <v>0.10666666666666667</v>
      </c>
      <c r="Z12" s="61">
        <f>AVERAGE(ALL_DATA!AA32:AA34)</f>
        <v>3.7399999999999998</v>
      </c>
      <c r="AA12" s="61">
        <f>AVERAGE(ALL_DATA!AB32:AB34)</f>
        <v>16.463333333333331</v>
      </c>
      <c r="AB12" s="61">
        <f>AVERAGE(ALL_DATA!AC32:AC34)</f>
        <v>8.0033333333333321</v>
      </c>
      <c r="AC12" s="61">
        <f>AVERAGE(ALL_DATA!AD32:AD34)</f>
        <v>14248.633333333333</v>
      </c>
      <c r="AD12" s="61">
        <f>AVERAGE(ALL_DATA!AE32:AE34)</f>
        <v>197.84333333333333</v>
      </c>
      <c r="AE12" s="61">
        <f>AVERAGE(ALL_DATA!AF32:AF34)</f>
        <v>10.090000000000002</v>
      </c>
      <c r="AF12" s="61">
        <f>AVERAGE(ALL_DATA!AG32:AG34)</f>
        <v>9.5233333333333334</v>
      </c>
      <c r="AG12" s="61" t="s">
        <v>182</v>
      </c>
      <c r="AH12" s="61">
        <f>AVERAGE(ALL_DATA!AI32:AI34)</f>
        <v>24.24666666666667</v>
      </c>
      <c r="AI12" s="61">
        <f>AVERAGE(ALL_DATA!AJ32:AJ34)</f>
        <v>49.373333333333335</v>
      </c>
      <c r="AJ12" s="61">
        <f>AVERAGE(ALL_DATA!AK32:AK34)</f>
        <v>4.6666666666666669E-2</v>
      </c>
      <c r="AK12" s="61">
        <f>AVERAGE(ALL_DATA!AL32:AL34)</f>
        <v>0.38600000000000007</v>
      </c>
      <c r="AL12" s="61">
        <f>AVERAGE(ALL_DATA!AM32:AM34)</f>
        <v>1.1379999999999999</v>
      </c>
      <c r="AM12" s="61">
        <f>AVERAGE(ALL_DATA!AN32:AN34)</f>
        <v>14.923333333333334</v>
      </c>
      <c r="AN12" s="61">
        <f>AVERAGE(ALL_DATA!AO32:AO34)</f>
        <v>135.97533333333334</v>
      </c>
      <c r="AO12" s="61">
        <f>AVERAGE(ALL_DATA!AP32:AP34)</f>
        <v>109.15066666666667</v>
      </c>
      <c r="AP12" s="61">
        <f>AVERAGE(ALL_DATA!AQ32:AQ34)</f>
        <v>39.659094951489614</v>
      </c>
      <c r="AQ12" s="61">
        <f>AVERAGE(ALL_DATA!AR32:AR34)</f>
        <v>8.9999999999999993E-3</v>
      </c>
      <c r="AR12" s="61" t="s">
        <v>182</v>
      </c>
      <c r="AS12" s="61" t="s">
        <v>182</v>
      </c>
      <c r="AT12" s="61" t="s">
        <v>182</v>
      </c>
      <c r="AU12" s="61" t="s">
        <v>182</v>
      </c>
      <c r="AV12" s="61" t="s">
        <v>182</v>
      </c>
      <c r="AW12" s="61" t="s">
        <v>182</v>
      </c>
      <c r="AX12" s="61" t="s">
        <v>182</v>
      </c>
      <c r="AY12" s="61" t="s">
        <v>182</v>
      </c>
      <c r="AZ12" s="61" t="s">
        <v>182</v>
      </c>
      <c r="BA12" s="61" t="s">
        <v>182</v>
      </c>
      <c r="BB12" s="61" t="s">
        <v>182</v>
      </c>
      <c r="BC12" s="61" t="s">
        <v>182</v>
      </c>
      <c r="BD12" s="61" t="s">
        <v>182</v>
      </c>
      <c r="BE12" s="61">
        <f>AVERAGE(ALL_DATA!BF32:BF34)</f>
        <v>6.8000000000000005E-2</v>
      </c>
      <c r="BF12" s="61" t="s">
        <v>182</v>
      </c>
      <c r="BG12" s="61" t="s">
        <v>182</v>
      </c>
      <c r="BH12" s="61" t="s">
        <v>182</v>
      </c>
      <c r="BI12" s="61" t="s">
        <v>182</v>
      </c>
      <c r="BJ12" s="61" t="s">
        <v>182</v>
      </c>
      <c r="BK12" s="61" t="s">
        <v>182</v>
      </c>
      <c r="BL12" s="61" t="s">
        <v>182</v>
      </c>
      <c r="BM12" s="61" t="s">
        <v>182</v>
      </c>
      <c r="BN12" s="61" t="s">
        <v>182</v>
      </c>
      <c r="BO12" s="61">
        <f>AVERAGE(ALL_DATA!BP32:BP34)</f>
        <v>0.01</v>
      </c>
      <c r="BP12" s="61" t="s">
        <v>182</v>
      </c>
      <c r="BQ12" s="61" t="s">
        <v>182</v>
      </c>
      <c r="BR12" s="61" t="s">
        <v>182</v>
      </c>
      <c r="BS12" s="61" t="s">
        <v>182</v>
      </c>
      <c r="BT12" s="61">
        <f>AVERAGE(ALL_DATA!BU32:BU34)</f>
        <v>0.03</v>
      </c>
      <c r="BU12" s="61" t="s">
        <v>182</v>
      </c>
      <c r="BV12" s="61" t="s">
        <v>182</v>
      </c>
      <c r="BW12" s="61" t="s">
        <v>182</v>
      </c>
      <c r="BX12" s="61" t="s">
        <v>182</v>
      </c>
      <c r="BY12" s="61" t="s">
        <v>182</v>
      </c>
      <c r="BZ12" s="61">
        <f>AVERAGE(ALL_DATA!CA32:CA34)</f>
        <v>45.918624488782093</v>
      </c>
      <c r="CA12" s="61">
        <f>AVERAGE(ALL_DATA!CB32:CB34)</f>
        <v>2.3326666666666669</v>
      </c>
      <c r="CB12" s="61">
        <f>AVERAGE(ALL_DATA!CC32:CC34)</f>
        <v>11.612</v>
      </c>
      <c r="CC12" s="61">
        <f>AVERAGE(ALL_DATA!CD32:CD34)</f>
        <v>133.79</v>
      </c>
      <c r="CD12" s="61">
        <f>AVERAGE(ALL_DATA!CE32:CE34)</f>
        <v>6.5692260000000005</v>
      </c>
      <c r="CE12" s="61">
        <f>AVERAGE(ALL_DATA!CF32:CF34)</f>
        <v>64.995916333333341</v>
      </c>
      <c r="CF12" s="61">
        <f>AVERAGE(ALL_DATA!CG32:CG34)</f>
        <v>28.434857000000004</v>
      </c>
    </row>
    <row r="13" spans="1:84" s="61" customFormat="1" ht="15.75" thickBot="1" x14ac:dyDescent="0.3">
      <c r="A13" s="61" t="s">
        <v>194</v>
      </c>
      <c r="B13" s="61" t="s">
        <v>76</v>
      </c>
      <c r="C13" s="61" t="s">
        <v>158</v>
      </c>
      <c r="D13" s="61" t="s">
        <v>83</v>
      </c>
      <c r="E13" s="62" t="s">
        <v>167</v>
      </c>
      <c r="F13" s="62" t="s">
        <v>168</v>
      </c>
      <c r="G13" s="63">
        <v>44298</v>
      </c>
      <c r="H13" s="64">
        <v>0.52083333333333337</v>
      </c>
      <c r="I13" s="61">
        <f>AVERAGE(ALL_DATA!J35:J37)</f>
        <v>12.700000000000001</v>
      </c>
      <c r="J13" s="61">
        <f>AVERAGE(ALL_DATA!K35:K37)</f>
        <v>7.4393333333333329</v>
      </c>
      <c r="K13" s="61">
        <f>AVERAGE(ALL_DATA!L35:L37)</f>
        <v>8.3666666666666654</v>
      </c>
      <c r="L13" s="61">
        <f>AVERAGE(ALL_DATA!M35:M37)</f>
        <v>13.4367</v>
      </c>
      <c r="M13" s="61">
        <f>AVERAGE(ALL_DATA!N35:N37)</f>
        <v>-40.43333333333333</v>
      </c>
      <c r="N13" s="61">
        <f>AVERAGE(ALL_DATA!O35:O37)</f>
        <v>6.0666666666666664</v>
      </c>
      <c r="O13" s="61">
        <f>AVERAGE(ALL_DATA!P35:P37)</f>
        <v>4803071186.4406776</v>
      </c>
      <c r="P13" s="61">
        <f>AVERAGE(ALL_DATA!Q35:Q37)</f>
        <v>8.0444444444444443</v>
      </c>
      <c r="Q13" s="61">
        <f>AVERAGE(ALL_DATA!R35:R37)</f>
        <v>16.866666666666664</v>
      </c>
      <c r="R13" s="61">
        <f>AVERAGE(ALL_DATA!S35:S37)</f>
        <v>1.0444444444444445</v>
      </c>
      <c r="S13" s="61">
        <f>AVERAGE(ALL_DATA!T35:T37)</f>
        <v>27.007407407407403</v>
      </c>
      <c r="T13" s="61">
        <f>AVERAGE(ALL_DATA!U35:U37)</f>
        <v>20.364056314952819</v>
      </c>
      <c r="U13" s="61">
        <f>AVERAGE(ALL_DATA!V35:V37)</f>
        <v>34.120643235928604</v>
      </c>
      <c r="V13" s="61">
        <f>AVERAGE(ALL_DATA!W35:W37)</f>
        <v>36.498989128683405</v>
      </c>
      <c r="W13" s="61">
        <f>AVERAGE(ALL_DATA!X35:X37)</f>
        <v>5193.7866666666669</v>
      </c>
      <c r="X13" s="61">
        <f>AVERAGE(ALL_DATA!Y35:Y37)</f>
        <v>18.66</v>
      </c>
      <c r="Y13" s="61">
        <f>AVERAGE(ALL_DATA!Z35:Z37)</f>
        <v>0.10333333333333335</v>
      </c>
      <c r="Z13" s="61">
        <f>AVERAGE(ALL_DATA!AA35:AA37)</f>
        <v>7.9033333333333333</v>
      </c>
      <c r="AA13" s="61">
        <f>AVERAGE(ALL_DATA!AB35:AB37)</f>
        <v>30.343333333333334</v>
      </c>
      <c r="AB13" s="61">
        <f>AVERAGE(ALL_DATA!AC35:AC37)</f>
        <v>14.38</v>
      </c>
      <c r="AC13" s="61">
        <f>AVERAGE(ALL_DATA!AD35:AD37)</f>
        <v>27851.286666666667</v>
      </c>
      <c r="AD13" s="61">
        <f>AVERAGE(ALL_DATA!AE35:AE37)</f>
        <v>673.72333333333336</v>
      </c>
      <c r="AE13" s="61">
        <f>AVERAGE(ALL_DATA!AF35:AF37)</f>
        <v>22.146666666666665</v>
      </c>
      <c r="AF13" s="61">
        <f>AVERAGE(ALL_DATA!AG35:AG37)</f>
        <v>14.416666666666666</v>
      </c>
      <c r="AG13" s="61" t="s">
        <v>182</v>
      </c>
      <c r="AH13" s="61">
        <f>AVERAGE(ALL_DATA!AI35:AI37)</f>
        <v>42.830000000000005</v>
      </c>
      <c r="AI13" s="61">
        <f>AVERAGE(ALL_DATA!AJ35:AJ37)</f>
        <v>95.553333333333327</v>
      </c>
      <c r="AJ13" s="61">
        <f>AVERAGE(ALL_DATA!AK35:AK37)</f>
        <v>6.6666666666666666E-2</v>
      </c>
      <c r="AK13" s="61">
        <f>AVERAGE(ALL_DATA!AL35:AL37)</f>
        <v>5.6666666666666678E-2</v>
      </c>
      <c r="AL13" s="61">
        <f>AVERAGE(ALL_DATA!AM35:AM37)</f>
        <v>0.48733333333333323</v>
      </c>
      <c r="AM13" s="61">
        <f>AVERAGE(ALL_DATA!AN35:AN37)</f>
        <v>3.1466666666666665</v>
      </c>
      <c r="AN13" s="61">
        <f>AVERAGE(ALL_DATA!AO35:AO37)</f>
        <v>227.94266666666667</v>
      </c>
      <c r="AO13" s="61">
        <f>AVERAGE(ALL_DATA!AP35:AP37)</f>
        <v>182.75199999999998</v>
      </c>
      <c r="AP13" s="61">
        <f>AVERAGE(ALL_DATA!AQ35:AQ37)</f>
        <v>44.12488527892841</v>
      </c>
      <c r="AQ13" s="61" t="s">
        <v>182</v>
      </c>
      <c r="AR13" s="61" t="s">
        <v>182</v>
      </c>
      <c r="AS13" s="61" t="s">
        <v>182</v>
      </c>
      <c r="AT13" s="61" t="s">
        <v>182</v>
      </c>
      <c r="AU13" s="61" t="s">
        <v>182</v>
      </c>
      <c r="AV13" s="61" t="s">
        <v>182</v>
      </c>
      <c r="AW13" s="61" t="s">
        <v>182</v>
      </c>
      <c r="AX13" s="61" t="s">
        <v>182</v>
      </c>
      <c r="AY13" s="61" t="s">
        <v>182</v>
      </c>
      <c r="AZ13" s="61" t="s">
        <v>182</v>
      </c>
      <c r="BA13" s="61" t="s">
        <v>182</v>
      </c>
      <c r="BB13" s="61" t="s">
        <v>182</v>
      </c>
      <c r="BC13" s="61" t="s">
        <v>182</v>
      </c>
      <c r="BD13" s="61" t="s">
        <v>182</v>
      </c>
      <c r="BE13" s="61">
        <f>AVERAGE(ALL_DATA!BF35:BF37)</f>
        <v>8.2000000000000003E-2</v>
      </c>
      <c r="BF13" s="61" t="s">
        <v>182</v>
      </c>
      <c r="BG13" s="61" t="s">
        <v>182</v>
      </c>
      <c r="BH13" s="61" t="s">
        <v>182</v>
      </c>
      <c r="BI13" s="61" t="s">
        <v>182</v>
      </c>
      <c r="BJ13" s="61" t="s">
        <v>182</v>
      </c>
      <c r="BK13" s="61" t="s">
        <v>182</v>
      </c>
      <c r="BL13" s="61" t="s">
        <v>182</v>
      </c>
      <c r="BM13" s="61">
        <f>AVERAGE(ALL_DATA!BN35:BN37)</f>
        <v>0.08</v>
      </c>
      <c r="BN13" s="61" t="s">
        <v>182</v>
      </c>
      <c r="BO13" s="61">
        <f>AVERAGE(ALL_DATA!BP35:BP37)</f>
        <v>1.7000000000000001E-2</v>
      </c>
      <c r="BP13" s="61" t="s">
        <v>182</v>
      </c>
      <c r="BQ13" s="61" t="s">
        <v>182</v>
      </c>
      <c r="BR13" s="61" t="s">
        <v>182</v>
      </c>
      <c r="BS13" s="61" t="s">
        <v>182</v>
      </c>
      <c r="BT13" s="61">
        <f>AVERAGE(ALL_DATA!BU35:BU37)</f>
        <v>5.2999999999999999E-2</v>
      </c>
      <c r="BU13" s="61" t="s">
        <v>182</v>
      </c>
      <c r="BV13" s="61">
        <f>AVERAGE(ALL_DATA!BW35:BW37)</f>
        <v>5.0999999999999997E-2</v>
      </c>
      <c r="BW13" s="61" t="s">
        <v>182</v>
      </c>
      <c r="BX13" s="61" t="s">
        <v>182</v>
      </c>
      <c r="BY13" s="61" t="s">
        <v>182</v>
      </c>
      <c r="BZ13" s="61">
        <f>AVERAGE(ALL_DATA!CA35:CA37)</f>
        <v>62.837682075750713</v>
      </c>
      <c r="CA13" s="61">
        <f>AVERAGE(ALL_DATA!CB35:CB37)</f>
        <v>1.7746666666666666</v>
      </c>
      <c r="CB13" s="61">
        <f>AVERAGE(ALL_DATA!CC35:CC37)</f>
        <v>7.8633333333333333</v>
      </c>
      <c r="CC13" s="61">
        <f>AVERAGE(ALL_DATA!CD35:CD37)</f>
        <v>60.010333333333335</v>
      </c>
      <c r="CD13" s="61">
        <f>AVERAGE(ALL_DATA!CE35:CE37)</f>
        <v>10.184694333333333</v>
      </c>
      <c r="CE13" s="61">
        <f>AVERAGE(ALL_DATA!CF35:CF37)</f>
        <v>79.385345000000015</v>
      </c>
      <c r="CF13" s="61">
        <f>AVERAGE(ALL_DATA!CG35:CG37)</f>
        <v>10.429960333333334</v>
      </c>
    </row>
    <row r="14" spans="1:84" s="61" customFormat="1" ht="15.75" thickBot="1" x14ac:dyDescent="0.3">
      <c r="A14" s="61" t="s">
        <v>195</v>
      </c>
      <c r="B14" s="61" t="s">
        <v>77</v>
      </c>
      <c r="C14" s="61" t="s">
        <v>158</v>
      </c>
      <c r="D14" s="61" t="s">
        <v>84</v>
      </c>
      <c r="E14" s="62" t="s">
        <v>169</v>
      </c>
      <c r="F14" s="62" t="s">
        <v>170</v>
      </c>
      <c r="G14" s="63">
        <v>44299</v>
      </c>
      <c r="H14" s="64">
        <v>0.47638888888888892</v>
      </c>
      <c r="I14" s="61">
        <f>AVERAGE(ALL_DATA!J38:J40)</f>
        <v>11.633333333333333</v>
      </c>
      <c r="J14" s="61">
        <f>AVERAGE(ALL_DATA!K38:K40)</f>
        <v>7.6709999999999994</v>
      </c>
      <c r="K14" s="61">
        <f>AVERAGE(ALL_DATA!L38:L40)</f>
        <v>30.466666666666665</v>
      </c>
      <c r="L14" s="61">
        <f>AVERAGE(ALL_DATA!M38:M40)</f>
        <v>47.780099999999997</v>
      </c>
      <c r="M14" s="61">
        <f>AVERAGE(ALL_DATA!N38:N40)</f>
        <v>-52.5</v>
      </c>
      <c r="N14" s="61">
        <f>AVERAGE(ALL_DATA!O38:O40)</f>
        <v>8.6</v>
      </c>
      <c r="O14" s="61">
        <f>AVERAGE(ALL_DATA!P38:P40)</f>
        <v>4769068198.1335249</v>
      </c>
      <c r="P14" s="61">
        <f>AVERAGE(ALL_DATA!Q38:Q40)</f>
        <v>68.8888888888889</v>
      </c>
      <c r="Q14" s="61">
        <f>AVERAGE(ALL_DATA!R38:R40)</f>
        <v>2.4</v>
      </c>
      <c r="R14" s="61">
        <f>AVERAGE(ALL_DATA!S38:S40)</f>
        <v>1.4666666666666666</v>
      </c>
      <c r="S14" s="61">
        <f>AVERAGE(ALL_DATA!T38:T40)</f>
        <v>75.037037037037038</v>
      </c>
      <c r="T14" s="61">
        <f>AVERAGE(ALL_DATA!U38:U40)</f>
        <v>9.7757578260203335</v>
      </c>
      <c r="U14" s="61">
        <f>AVERAGE(ALL_DATA!V38:V40)</f>
        <v>14.932016987513322</v>
      </c>
      <c r="V14" s="61">
        <f>AVERAGE(ALL_DATA!W38:W40)</f>
        <v>39.528508536966001</v>
      </c>
      <c r="W14" s="61">
        <f>AVERAGE(ALL_DATA!X38:X40)</f>
        <v>5064.6266666666661</v>
      </c>
      <c r="X14" s="61">
        <f>AVERAGE(ALL_DATA!Y38:Y40)</f>
        <v>13.01</v>
      </c>
      <c r="Y14" s="61">
        <f>AVERAGE(ALL_DATA!Z38:Z40)</f>
        <v>6.6666666666666666E-2</v>
      </c>
      <c r="Z14" s="61">
        <f>AVERAGE(ALL_DATA!AA38:AA40)</f>
        <v>4.8</v>
      </c>
      <c r="AA14" s="61">
        <f>AVERAGE(ALL_DATA!AB38:AB40)</f>
        <v>20.959999999999997</v>
      </c>
      <c r="AB14" s="61">
        <f>AVERAGE(ALL_DATA!AC38:AC40)</f>
        <v>11.959999999999999</v>
      </c>
      <c r="AC14" s="61">
        <f>AVERAGE(ALL_DATA!AD38:AD40)</f>
        <v>19363.280000000002</v>
      </c>
      <c r="AD14" s="61">
        <f>AVERAGE(ALL_DATA!AE38:AE40)</f>
        <v>306.94666666666666</v>
      </c>
      <c r="AE14" s="61">
        <f>AVERAGE(ALL_DATA!AF38:AF40)</f>
        <v>14.496666666666668</v>
      </c>
      <c r="AF14" s="61">
        <f>AVERAGE(ALL_DATA!AG38:AG40)</f>
        <v>13.323333333333332</v>
      </c>
      <c r="AG14" s="61" t="s">
        <v>182</v>
      </c>
      <c r="AH14" s="61">
        <f>AVERAGE(ALL_DATA!AI38:AI40)</f>
        <v>28.08</v>
      </c>
      <c r="AI14" s="61">
        <f>AVERAGE(ALL_DATA!AJ38:AJ40)</f>
        <v>69.733333333333334</v>
      </c>
      <c r="AJ14" s="61">
        <f>AVERAGE(ALL_DATA!AK38:AK40)</f>
        <v>5.3333333333333337E-2</v>
      </c>
      <c r="AK14" s="61">
        <f>AVERAGE(ALL_DATA!AL38:AL40)</f>
        <v>3.1333333333333345E-2</v>
      </c>
      <c r="AL14" s="61">
        <f>AVERAGE(ALL_DATA!AM38:AM40)</f>
        <v>0.73499999999999999</v>
      </c>
      <c r="AM14" s="61">
        <f>AVERAGE(ALL_DATA!AN38:AN40)</f>
        <v>3.3246666666666669</v>
      </c>
      <c r="AN14" s="61">
        <f>AVERAGE(ALL_DATA!AO38:AO40)</f>
        <v>105.87466666666667</v>
      </c>
      <c r="AO14" s="61">
        <f>AVERAGE(ALL_DATA!AP38:AP40)</f>
        <v>43.899666666666668</v>
      </c>
      <c r="AP14" s="61">
        <f>AVERAGE(ALL_DATA!AQ38:AQ40)</f>
        <v>35.60168014463347</v>
      </c>
      <c r="AQ14" s="61" t="s">
        <v>182</v>
      </c>
      <c r="AR14" s="61" t="s">
        <v>182</v>
      </c>
      <c r="AS14" s="61" t="s">
        <v>182</v>
      </c>
      <c r="AT14" s="61" t="s">
        <v>182</v>
      </c>
      <c r="AU14" s="61" t="s">
        <v>182</v>
      </c>
      <c r="AV14" s="61" t="s">
        <v>182</v>
      </c>
      <c r="AW14" s="61" t="s">
        <v>182</v>
      </c>
      <c r="AX14" s="61" t="s">
        <v>182</v>
      </c>
      <c r="AY14" s="61" t="s">
        <v>182</v>
      </c>
      <c r="AZ14" s="61" t="s">
        <v>182</v>
      </c>
      <c r="BA14" s="61" t="s">
        <v>182</v>
      </c>
      <c r="BB14" s="61" t="s">
        <v>182</v>
      </c>
      <c r="BC14" s="61">
        <f>AVERAGE(ALL_DATA!BD38:BD40)</f>
        <v>6.3E-2</v>
      </c>
      <c r="BD14" s="61" t="s">
        <v>182</v>
      </c>
      <c r="BE14" s="61">
        <f>AVERAGE(ALL_DATA!BF38:BF40)</f>
        <v>0.14699999999999999</v>
      </c>
      <c r="BF14" s="61" t="s">
        <v>182</v>
      </c>
      <c r="BG14" s="61" t="s">
        <v>182</v>
      </c>
      <c r="BH14" s="61" t="s">
        <v>182</v>
      </c>
      <c r="BI14" s="61" t="s">
        <v>182</v>
      </c>
      <c r="BJ14" s="61" t="s">
        <v>182</v>
      </c>
      <c r="BK14" s="61" t="s">
        <v>182</v>
      </c>
      <c r="BL14" s="61" t="s">
        <v>182</v>
      </c>
      <c r="BM14" s="61">
        <f>AVERAGE(ALL_DATA!BN38:BN40)</f>
        <v>0.14299999999999999</v>
      </c>
      <c r="BN14" s="61" t="s">
        <v>182</v>
      </c>
      <c r="BO14" s="61">
        <f>AVERAGE(ALL_DATA!BP38:BP40)</f>
        <v>4.2000000000000003E-2</v>
      </c>
      <c r="BP14" s="61">
        <f>AVERAGE(ALL_DATA!BQ38:BQ40)</f>
        <v>3.9E-2</v>
      </c>
      <c r="BQ14" s="61" t="s">
        <v>182</v>
      </c>
      <c r="BR14" s="61" t="s">
        <v>182</v>
      </c>
      <c r="BS14" s="61" t="s">
        <v>182</v>
      </c>
      <c r="BT14" s="61">
        <f>AVERAGE(ALL_DATA!BU38:BU40)</f>
        <v>9.2000000000000012E-2</v>
      </c>
      <c r="BU14" s="61" t="s">
        <v>182</v>
      </c>
      <c r="BV14" s="61">
        <f>AVERAGE(ALL_DATA!BW38:BW40)</f>
        <v>0.155</v>
      </c>
      <c r="BW14" s="61" t="s">
        <v>182</v>
      </c>
      <c r="BX14" s="61" t="s">
        <v>182</v>
      </c>
      <c r="BY14" s="61" t="s">
        <v>182</v>
      </c>
      <c r="BZ14" s="61">
        <f>AVERAGE(ALL_DATA!CA38:CA40)</f>
        <v>49.489210827887426</v>
      </c>
      <c r="CA14" s="61">
        <f>AVERAGE(ALL_DATA!CB38:CB40)</f>
        <v>2.2106666666666666</v>
      </c>
      <c r="CB14" s="61">
        <f>AVERAGE(ALL_DATA!CC38:CC40)</f>
        <v>11.038000000000002</v>
      </c>
      <c r="CC14" s="61">
        <f>AVERAGE(ALL_DATA!CD38:CD40)</f>
        <v>110.92466666666667</v>
      </c>
      <c r="CD14" s="61">
        <f>AVERAGE(ALL_DATA!CE38:CE40)</f>
        <v>7.0867433333333336</v>
      </c>
      <c r="CE14" s="61">
        <f>AVERAGE(ALL_DATA!CF38:CF40)</f>
        <v>68.145217666666667</v>
      </c>
      <c r="CF14" s="61">
        <f>AVERAGE(ALL_DATA!CG38:CG40)</f>
        <v>24.768038333333333</v>
      </c>
    </row>
    <row r="15" spans="1:84" s="61" customFormat="1" ht="15.75" thickBot="1" x14ac:dyDescent="0.3">
      <c r="A15" s="61" t="s">
        <v>196</v>
      </c>
      <c r="B15" s="61" t="s">
        <v>78</v>
      </c>
      <c r="C15" s="61" t="s">
        <v>158</v>
      </c>
      <c r="D15" s="61" t="s">
        <v>84</v>
      </c>
      <c r="E15" s="62" t="s">
        <v>171</v>
      </c>
      <c r="F15" s="62" t="s">
        <v>172</v>
      </c>
      <c r="G15" s="63">
        <v>44300</v>
      </c>
      <c r="H15" s="64">
        <v>0.4916666666666667</v>
      </c>
      <c r="I15" s="61">
        <f>AVERAGE(ALL_DATA!J41:J43)</f>
        <v>11.633333333333335</v>
      </c>
      <c r="J15" s="61">
        <f>AVERAGE(ALL_DATA!K41:K43)</f>
        <v>7.6223333333333336</v>
      </c>
      <c r="K15" s="61">
        <f>AVERAGE(ALL_DATA!L41:L43)</f>
        <v>17.433333333333334</v>
      </c>
      <c r="L15" s="61">
        <f>AVERAGE(ALL_DATA!M41:M43)</f>
        <v>27.526300000000003</v>
      </c>
      <c r="M15" s="61">
        <f>AVERAGE(ALL_DATA!N41:N43)</f>
        <v>-51.633333333333333</v>
      </c>
      <c r="N15" s="61">
        <f>AVERAGE(ALL_DATA!O41:O43)</f>
        <v>6.8666666666666671</v>
      </c>
      <c r="O15" s="61">
        <f>AVERAGE(ALL_DATA!P41:P43)</f>
        <v>2219972881.3559322</v>
      </c>
      <c r="P15" s="61">
        <f>AVERAGE(ALL_DATA!Q41:Q43)</f>
        <v>109.06666666666666</v>
      </c>
      <c r="Q15" s="61">
        <f>AVERAGE(ALL_DATA!R41:R43)</f>
        <v>4.9777777777777779</v>
      </c>
      <c r="R15" s="61">
        <f>AVERAGE(ALL_DATA!S41:S43)</f>
        <v>1.0222222222222221</v>
      </c>
      <c r="S15" s="61">
        <f>AVERAGE(ALL_DATA!T41:T43)</f>
        <v>116.87407407407409</v>
      </c>
      <c r="T15" s="61">
        <f>AVERAGE(ALL_DATA!U41:U43)</f>
        <v>7.1180138373561919</v>
      </c>
      <c r="U15" s="61">
        <f>AVERAGE(ALL_DATA!V41:V43)</f>
        <v>14.995005993602868</v>
      </c>
      <c r="V15" s="61">
        <f>AVERAGE(ALL_DATA!W41:W43)</f>
        <v>34.84188567726742</v>
      </c>
      <c r="W15" s="61">
        <f>AVERAGE(ALL_DATA!X41:X43)</f>
        <v>5650.73</v>
      </c>
      <c r="X15" s="61">
        <f>AVERAGE(ALL_DATA!Y41:Y43)</f>
        <v>19.430000000000003</v>
      </c>
      <c r="Y15" s="61">
        <f>AVERAGE(ALL_DATA!Z41:Z43)</f>
        <v>0.13333333333333333</v>
      </c>
      <c r="Z15" s="61">
        <f>AVERAGE(ALL_DATA!AA41:AA43)</f>
        <v>7.9066666666666663</v>
      </c>
      <c r="AA15" s="61">
        <f>AVERAGE(ALL_DATA!AB41:AB43)</f>
        <v>30.353333333333335</v>
      </c>
      <c r="AB15" s="61">
        <f>AVERAGE(ALL_DATA!AC41:AC43)</f>
        <v>16.873333333333335</v>
      </c>
      <c r="AC15" s="61">
        <f>AVERAGE(ALL_DATA!AD41:AD43)</f>
        <v>27436.28</v>
      </c>
      <c r="AD15" s="61">
        <f>AVERAGE(ALL_DATA!AE41:AE43)</f>
        <v>557.13666666666666</v>
      </c>
      <c r="AE15" s="61">
        <f>AVERAGE(ALL_DATA!AF41:AF43)</f>
        <v>22.599999999999998</v>
      </c>
      <c r="AF15" s="61">
        <f>AVERAGE(ALL_DATA!AG41:AG43)</f>
        <v>14.700000000000001</v>
      </c>
      <c r="AG15" s="61" t="s">
        <v>182</v>
      </c>
      <c r="AH15" s="61">
        <f>AVERAGE(ALL_DATA!AI41:AI43)</f>
        <v>43.096666666666671</v>
      </c>
      <c r="AI15" s="61">
        <f>AVERAGE(ALL_DATA!AJ41:AJ43)</f>
        <v>106.76333333333332</v>
      </c>
      <c r="AJ15" s="61">
        <f>AVERAGE(ALL_DATA!AK41:AK43)</f>
        <v>8.666666666666667E-2</v>
      </c>
      <c r="AK15" s="61">
        <f>AVERAGE(ALL_DATA!AL41:AL43)</f>
        <v>0.14000000000000004</v>
      </c>
      <c r="AL15" s="61">
        <f>AVERAGE(ALL_DATA!AM41:AM43)</f>
        <v>1.1546666666666667</v>
      </c>
      <c r="AM15" s="61">
        <f>AVERAGE(ALL_DATA!AN41:AN43)</f>
        <v>4.0680000000000005</v>
      </c>
      <c r="AN15" s="61">
        <f>AVERAGE(ALL_DATA!AO41:AO43)</f>
        <v>115.52999999999999</v>
      </c>
      <c r="AO15" s="61">
        <f>AVERAGE(ALL_DATA!AP41:AP43)</f>
        <v>104.05466666666666</v>
      </c>
      <c r="AP15" s="61">
        <f>AVERAGE(ALL_DATA!AQ41:AQ43)</f>
        <v>79.367128804927503</v>
      </c>
      <c r="AQ15" s="61" t="s">
        <v>182</v>
      </c>
      <c r="AR15" s="61" t="s">
        <v>182</v>
      </c>
      <c r="AS15" s="61" t="s">
        <v>182</v>
      </c>
      <c r="AT15" s="61" t="s">
        <v>182</v>
      </c>
      <c r="AU15" s="61" t="s">
        <v>182</v>
      </c>
      <c r="AV15" s="61" t="s">
        <v>182</v>
      </c>
      <c r="AW15" s="61" t="s">
        <v>182</v>
      </c>
      <c r="AX15" s="61" t="s">
        <v>182</v>
      </c>
      <c r="AY15" s="61" t="s">
        <v>182</v>
      </c>
      <c r="AZ15" s="61" t="s">
        <v>182</v>
      </c>
      <c r="BA15" s="61" t="s">
        <v>182</v>
      </c>
      <c r="BB15" s="61" t="s">
        <v>182</v>
      </c>
      <c r="BC15" s="61">
        <f>AVERAGE(ALL_DATA!BD41:BD43)</f>
        <v>3.5999999999999997E-2</v>
      </c>
      <c r="BD15" s="61" t="s">
        <v>182</v>
      </c>
      <c r="BE15" s="61">
        <f>AVERAGE(ALL_DATA!BF41:BF43)</f>
        <v>7.3999999999999996E-2</v>
      </c>
      <c r="BF15" s="61" t="s">
        <v>182</v>
      </c>
      <c r="BG15" s="61" t="s">
        <v>182</v>
      </c>
      <c r="BH15" s="61">
        <f>AVERAGE(ALL_DATA!BI41:BI43)</f>
        <v>5.0000000000000001E-3</v>
      </c>
      <c r="BI15" s="61" t="s">
        <v>182</v>
      </c>
      <c r="BJ15" s="61" t="s">
        <v>182</v>
      </c>
      <c r="BK15" s="61" t="s">
        <v>182</v>
      </c>
      <c r="BL15" s="61" t="s">
        <v>182</v>
      </c>
      <c r="BM15" s="61">
        <f>AVERAGE(ALL_DATA!BN41:BN43)</f>
        <v>0.106</v>
      </c>
      <c r="BN15" s="61" t="s">
        <v>182</v>
      </c>
      <c r="BO15" s="61">
        <f>AVERAGE(ALL_DATA!BP41:BP43)</f>
        <v>3.9E-2</v>
      </c>
      <c r="BP15" s="61" t="s">
        <v>182</v>
      </c>
      <c r="BQ15" s="61" t="s">
        <v>182</v>
      </c>
      <c r="BR15" s="61" t="s">
        <v>182</v>
      </c>
      <c r="BS15" s="61" t="s">
        <v>182</v>
      </c>
      <c r="BT15" s="61">
        <f>AVERAGE(ALL_DATA!BU41:BU43)</f>
        <v>0.11</v>
      </c>
      <c r="BU15" s="61" t="s">
        <v>182</v>
      </c>
      <c r="BV15" s="61">
        <f>AVERAGE(ALL_DATA!BW41:BW43)</f>
        <v>9.8000000000000018E-2</v>
      </c>
      <c r="BW15" s="61" t="s">
        <v>182</v>
      </c>
      <c r="BX15" s="61" t="s">
        <v>182</v>
      </c>
      <c r="BY15" s="61" t="s">
        <v>182</v>
      </c>
      <c r="BZ15" s="61">
        <f>AVERAGE(ALL_DATA!CA41:CA43)</f>
        <v>49.039293530747024</v>
      </c>
      <c r="CA15" s="61">
        <f>AVERAGE(ALL_DATA!CB41:CB43)</f>
        <v>1.998</v>
      </c>
      <c r="CB15" s="61">
        <f>AVERAGE(ALL_DATA!CC41:CC43)</f>
        <v>8.0726666666666684</v>
      </c>
      <c r="CC15" s="61">
        <f>AVERAGE(ALL_DATA!CD41:CD43)</f>
        <v>141.94366666666664</v>
      </c>
      <c r="CD15" s="61">
        <f>AVERAGE(ALL_DATA!CE41:CE43)</f>
        <v>8.4009113333333332</v>
      </c>
      <c r="CE15" s="61">
        <f>AVERAGE(ALL_DATA!CF41:CF43)</f>
        <v>76.547904666666682</v>
      </c>
      <c r="CF15" s="61">
        <f>AVERAGE(ALL_DATA!CG41:CG43)</f>
        <v>15.05118433333333</v>
      </c>
    </row>
    <row r="16" spans="1:84" s="61" customFormat="1" ht="15.75" thickBot="1" x14ac:dyDescent="0.3">
      <c r="A16" s="61" t="s">
        <v>197</v>
      </c>
      <c r="B16" s="61" t="s">
        <v>79</v>
      </c>
      <c r="C16" s="61" t="s">
        <v>158</v>
      </c>
      <c r="D16" s="61" t="s">
        <v>83</v>
      </c>
      <c r="E16" s="62" t="s">
        <v>173</v>
      </c>
      <c r="F16" s="62" t="s">
        <v>174</v>
      </c>
      <c r="G16" s="63">
        <v>44306</v>
      </c>
      <c r="H16" s="64">
        <v>0.4368055555555555</v>
      </c>
      <c r="I16" s="61">
        <f>AVERAGE(ALL_DATA!J44:J46)</f>
        <v>14.799999999999999</v>
      </c>
      <c r="J16" s="61">
        <f>AVERAGE(ALL_DATA!K44:K46)</f>
        <v>7.3956666666666671</v>
      </c>
      <c r="K16" s="61">
        <f>AVERAGE(ALL_DATA!L44:L46)</f>
        <v>5.166666666666667</v>
      </c>
      <c r="L16" s="61">
        <f>AVERAGE(ALL_DATA!M44:M46)</f>
        <v>8.4639000000000006</v>
      </c>
      <c r="M16" s="61">
        <f>AVERAGE(ALL_DATA!N44:N46)</f>
        <v>-38.6</v>
      </c>
      <c r="N16" s="61">
        <f>AVERAGE(ALL_DATA!O44:O46)</f>
        <v>10</v>
      </c>
      <c r="O16" s="61">
        <f>AVERAGE(ALL_DATA!P44:P46)</f>
        <v>1008284852.8356066</v>
      </c>
      <c r="P16" s="61">
        <f>AVERAGE(ALL_DATA!Q44:Q46)</f>
        <v>6.9222222222222216</v>
      </c>
      <c r="Q16" s="61">
        <f>AVERAGE(ALL_DATA!R44:R46)</f>
        <v>0.48888888888888893</v>
      </c>
      <c r="R16" s="61">
        <f>AVERAGE(ALL_DATA!S44:S46)</f>
        <v>0.15555555555555553</v>
      </c>
      <c r="S16" s="61">
        <f>AVERAGE(ALL_DATA!T44:T46)</f>
        <v>8.3666666666666671</v>
      </c>
      <c r="T16" s="61">
        <f>AVERAGE(ALL_DATA!U44:U46)</f>
        <v>6.9244709919183078</v>
      </c>
      <c r="U16" s="61">
        <f>AVERAGE(ALL_DATA!V44:V46)</f>
        <v>9.3351363383651371</v>
      </c>
      <c r="V16" s="61">
        <f>AVERAGE(ALL_DATA!W44:W46)</f>
        <v>42.306841719098912</v>
      </c>
      <c r="W16" s="61">
        <f>AVERAGE(ALL_DATA!X44:X46)</f>
        <v>5945.16</v>
      </c>
      <c r="X16" s="61">
        <f>AVERAGE(ALL_DATA!Y44:Y46)</f>
        <v>25.436666666666667</v>
      </c>
      <c r="Y16" s="61">
        <f>AVERAGE(ALL_DATA!Z44:Z46)</f>
        <v>0.24000000000000002</v>
      </c>
      <c r="Z16" s="61">
        <f>AVERAGE(ALL_DATA!AA44:AA46)</f>
        <v>15.246666666666664</v>
      </c>
      <c r="AA16" s="61">
        <f>AVERAGE(ALL_DATA!AB44:AB46)</f>
        <v>31.133333333333336</v>
      </c>
      <c r="AB16" s="61">
        <f>AVERAGE(ALL_DATA!AC44:AC46)</f>
        <v>23.656666666666666</v>
      </c>
      <c r="AC16" s="61">
        <f>AVERAGE(ALL_DATA!AD44:AD46)</f>
        <v>32206.753333333338</v>
      </c>
      <c r="AD16" s="61">
        <f>AVERAGE(ALL_DATA!AE44:AE46)</f>
        <v>488.42</v>
      </c>
      <c r="AE16" s="61">
        <f>AVERAGE(ALL_DATA!AF44:AF46)</f>
        <v>31.036666666666665</v>
      </c>
      <c r="AF16" s="61">
        <f>AVERAGE(ALL_DATA!AG44:AG46)</f>
        <v>15.773333333333333</v>
      </c>
      <c r="AG16" s="61" t="s">
        <v>182</v>
      </c>
      <c r="AH16" s="61">
        <f>AVERAGE(ALL_DATA!AI44:AI46)</f>
        <v>36.956666666666671</v>
      </c>
      <c r="AI16" s="61">
        <f>AVERAGE(ALL_DATA!AJ44:AJ46)</f>
        <v>142.85666666666665</v>
      </c>
      <c r="AJ16" s="61">
        <f>AVERAGE(ALL_DATA!AK44:AK46)</f>
        <v>0.13666666666666669</v>
      </c>
      <c r="AK16" s="61">
        <f>AVERAGE(ALL_DATA!AL44:AL46)</f>
        <v>0</v>
      </c>
      <c r="AL16" s="61">
        <f>AVERAGE(ALL_DATA!AM44:AM46)</f>
        <v>0.45300000000000001</v>
      </c>
      <c r="AM16" s="61">
        <f>AVERAGE(ALL_DATA!AN44:AN46)</f>
        <v>1.5536666666666668</v>
      </c>
      <c r="AN16" s="61">
        <f>AVERAGE(ALL_DATA!AO44:AO46)</f>
        <v>121.68966666666667</v>
      </c>
      <c r="AO16" s="61">
        <f>AVERAGE(ALL_DATA!AP44:AP46)</f>
        <v>56.496000000000002</v>
      </c>
      <c r="AP16" s="61">
        <f>AVERAGE(ALL_DATA!AQ44:AQ46)</f>
        <v>30.298688183242358</v>
      </c>
      <c r="AQ16" s="61" t="s">
        <v>182</v>
      </c>
      <c r="AR16" s="61" t="s">
        <v>182</v>
      </c>
      <c r="AS16" s="61" t="s">
        <v>182</v>
      </c>
      <c r="AT16" s="61" t="s">
        <v>182</v>
      </c>
      <c r="AU16" s="61" t="s">
        <v>182</v>
      </c>
      <c r="AV16" s="61" t="s">
        <v>182</v>
      </c>
      <c r="AW16" s="61" t="s">
        <v>182</v>
      </c>
      <c r="AX16" s="61" t="s">
        <v>182</v>
      </c>
      <c r="AY16" s="61" t="s">
        <v>182</v>
      </c>
      <c r="AZ16" s="61" t="s">
        <v>182</v>
      </c>
      <c r="BA16" s="61" t="s">
        <v>182</v>
      </c>
      <c r="BB16" s="61" t="s">
        <v>182</v>
      </c>
      <c r="BC16" s="61">
        <f>AVERAGE(ALL_DATA!BD44:BD46)</f>
        <v>4.6000000000000006E-2</v>
      </c>
      <c r="BD16" s="61" t="s">
        <v>182</v>
      </c>
      <c r="BE16" s="61">
        <f>AVERAGE(ALL_DATA!BF44:BF46)</f>
        <v>8.6000000000000007E-2</v>
      </c>
      <c r="BF16" s="61" t="s">
        <v>182</v>
      </c>
      <c r="BG16" s="61" t="s">
        <v>182</v>
      </c>
      <c r="BH16" s="61">
        <f>AVERAGE(ALL_DATA!BI44:BI46)</f>
        <v>4.0000000000000001E-3</v>
      </c>
      <c r="BI16" s="61" t="s">
        <v>182</v>
      </c>
      <c r="BJ16" s="61" t="s">
        <v>182</v>
      </c>
      <c r="BK16" s="61" t="s">
        <v>182</v>
      </c>
      <c r="BL16" s="61" t="s">
        <v>182</v>
      </c>
      <c r="BM16" s="61">
        <f>AVERAGE(ALL_DATA!BN44:BN46)</f>
        <v>0.14099999999999999</v>
      </c>
      <c r="BN16" s="61" t="s">
        <v>182</v>
      </c>
      <c r="BO16" s="61">
        <f>AVERAGE(ALL_DATA!BP44:BP46)</f>
        <v>2.8000000000000001E-2</v>
      </c>
      <c r="BP16" s="61" t="s">
        <v>182</v>
      </c>
      <c r="BQ16" s="61" t="s">
        <v>182</v>
      </c>
      <c r="BR16" s="61" t="s">
        <v>182</v>
      </c>
      <c r="BS16" s="61" t="s">
        <v>182</v>
      </c>
      <c r="BT16" s="61">
        <f>AVERAGE(ALL_DATA!BU44:BU46)</f>
        <v>0.08</v>
      </c>
      <c r="BU16" s="61" t="s">
        <v>182</v>
      </c>
      <c r="BV16" s="61">
        <f>AVERAGE(ALL_DATA!BW44:BW46)</f>
        <v>0.112</v>
      </c>
      <c r="BW16" s="61" t="s">
        <v>182</v>
      </c>
      <c r="BX16" s="61" t="s">
        <v>182</v>
      </c>
      <c r="BY16" s="61">
        <f>AVERAGE(ALL_DATA!BZ44:BZ46)</f>
        <v>4.5000000000000005E-2</v>
      </c>
      <c r="BZ16" s="61">
        <f>AVERAGE(ALL_DATA!CA44:CA46)</f>
        <v>57.95026804423869</v>
      </c>
      <c r="CA16" s="61">
        <f>AVERAGE(ALL_DATA!CB44:CB46)</f>
        <v>1.6683333333333332</v>
      </c>
      <c r="CB16" s="61">
        <f>AVERAGE(ALL_DATA!CC44:CC46)</f>
        <v>7.2909999999999995</v>
      </c>
      <c r="CC16" s="61">
        <f>AVERAGE(ALL_DATA!CD44:CD46)</f>
        <v>62.028666666666673</v>
      </c>
      <c r="CD16" s="61">
        <f>AVERAGE(ALL_DATA!CE44:CE46)</f>
        <v>11.380559666666665</v>
      </c>
      <c r="CE16" s="61">
        <f>AVERAGE(ALL_DATA!CF44:CF46)</f>
        <v>77.710436999999999</v>
      </c>
      <c r="CF16" s="61">
        <f>AVERAGE(ALL_DATA!CG44:CG46)</f>
        <v>10.909002000000001</v>
      </c>
    </row>
    <row r="17" spans="1:84" s="61" customFormat="1" ht="15.75" thickBot="1" x14ac:dyDescent="0.3">
      <c r="A17" s="61" t="s">
        <v>198</v>
      </c>
      <c r="B17" s="61" t="s">
        <v>80</v>
      </c>
      <c r="C17" s="61" t="s">
        <v>158</v>
      </c>
      <c r="D17" s="61" t="s">
        <v>82</v>
      </c>
      <c r="E17" s="62" t="s">
        <v>175</v>
      </c>
      <c r="F17" s="62" t="s">
        <v>176</v>
      </c>
      <c r="G17" s="138">
        <v>44321</v>
      </c>
      <c r="H17" s="139">
        <v>0.44166666666666665</v>
      </c>
      <c r="I17" s="61">
        <f>AVERAGE(ALL_DATA!J47:J49)</f>
        <v>13.6</v>
      </c>
      <c r="J17" s="61">
        <f>AVERAGE(ALL_DATA!K47:K49)</f>
        <v>7.1386666666666656</v>
      </c>
      <c r="K17" s="61">
        <f>AVERAGE(ALL_DATA!L47:L49)</f>
        <v>0.23333333333333331</v>
      </c>
      <c r="L17" s="61">
        <f>AVERAGE(ALL_DATA!M47:M49)</f>
        <v>0.79749999999999999</v>
      </c>
      <c r="M17" s="61">
        <f>AVERAGE(ALL_DATA!N47:N49)</f>
        <v>-24.466666666666669</v>
      </c>
      <c r="N17" s="61">
        <f>AVERAGE(ALL_DATA!O47:O49)</f>
        <v>11.666666666666666</v>
      </c>
      <c r="O17" s="61">
        <f>AVERAGE(ALL_DATA!P47:P49)</f>
        <v>1482212778.1765976</v>
      </c>
      <c r="P17" s="61">
        <f>AVERAGE(ALL_DATA!Q47:Q49)</f>
        <v>5.2222222222222214</v>
      </c>
      <c r="Q17" s="61">
        <f>AVERAGE(ALL_DATA!R47:R49)</f>
        <v>1.3555555555555554</v>
      </c>
      <c r="R17" s="61">
        <f>AVERAGE(ALL_DATA!S47:S49)</f>
        <v>0.71111111111111114</v>
      </c>
      <c r="S17" s="61">
        <f>AVERAGE(ALL_DATA!T47:T49)</f>
        <v>8.0629629629629633</v>
      </c>
      <c r="T17" s="61">
        <f>AVERAGE(ALL_DATA!U47:U49)</f>
        <v>15.37686954665566</v>
      </c>
      <c r="U17" s="61">
        <f>AVERAGE(ALL_DATA!V47:V49)</f>
        <v>39.366295899966865</v>
      </c>
      <c r="V17" s="61">
        <f>AVERAGE(ALL_DATA!W47:W49)</f>
        <v>28.488259820859426</v>
      </c>
      <c r="W17" s="61">
        <f>AVERAGE(ALL_DATA!X47:X49)</f>
        <v>6009.6333333333341</v>
      </c>
      <c r="X17" s="61">
        <f>AVERAGE(ALL_DATA!Y47:Y49)</f>
        <v>11.056666666666667</v>
      </c>
      <c r="Y17" s="61">
        <f>AVERAGE(ALL_DATA!Z47:Z49)</f>
        <v>7.0000000000000007E-2</v>
      </c>
      <c r="Z17" s="61">
        <f>AVERAGE(ALL_DATA!AA47:AA49)</f>
        <v>6.7966666666666669</v>
      </c>
      <c r="AA17" s="61">
        <f>AVERAGE(ALL_DATA!AB47:AB49)</f>
        <v>28.186666666666667</v>
      </c>
      <c r="AB17" s="61">
        <f>AVERAGE(ALL_DATA!AC47:AC49)</f>
        <v>10.426666666666668</v>
      </c>
      <c r="AC17" s="61">
        <f>AVERAGE(ALL_DATA!AD47:AD49)</f>
        <v>25064.316666666666</v>
      </c>
      <c r="AD17" s="61">
        <f>AVERAGE(ALL_DATA!AE47:AE49)</f>
        <v>412.09999999999997</v>
      </c>
      <c r="AE17" s="61">
        <f>AVERAGE(ALL_DATA!AF47:AF49)</f>
        <v>21.913333333333338</v>
      </c>
      <c r="AF17" s="61">
        <f>AVERAGE(ALL_DATA!AG47:AG49)</f>
        <v>13.976666666666667</v>
      </c>
      <c r="AG17" s="61" t="s">
        <v>182</v>
      </c>
      <c r="AH17" s="61">
        <f>AVERAGE(ALL_DATA!AI47:AI49)</f>
        <v>32.733333333333327</v>
      </c>
      <c r="AI17" s="61">
        <f>AVERAGE(ALL_DATA!AJ47:AJ49)</f>
        <v>80.923333333333332</v>
      </c>
      <c r="AJ17" s="61">
        <f>AVERAGE(ALL_DATA!AK47:AK49)</f>
        <v>5.6666666666666671E-2</v>
      </c>
      <c r="AK17" s="61">
        <f>AVERAGE(ALL_DATA!AL47:AL49)</f>
        <v>0.23799999999999999</v>
      </c>
      <c r="AL17" s="61">
        <f>AVERAGE(ALL_DATA!AM47:AM49)</f>
        <v>0.24366666666666667</v>
      </c>
      <c r="AM17" s="61">
        <f>AVERAGE(ALL_DATA!AN47:AN49)</f>
        <v>1.1683333333333332</v>
      </c>
      <c r="AN17" s="61">
        <f>AVERAGE(ALL_DATA!AO47:AO49)</f>
        <v>329.27933333333334</v>
      </c>
      <c r="AO17" s="61">
        <f>AVERAGE(ALL_DATA!AP47:AP49)</f>
        <v>85.704666666666682</v>
      </c>
      <c r="AP17" s="61">
        <f>AVERAGE(ALL_DATA!AQ47:AQ49)</f>
        <v>47.030028348527033</v>
      </c>
      <c r="AQ17" s="61" t="s">
        <v>182</v>
      </c>
      <c r="AR17" s="61" t="s">
        <v>182</v>
      </c>
      <c r="AS17" s="61" t="s">
        <v>182</v>
      </c>
      <c r="AT17" s="61" t="s">
        <v>182</v>
      </c>
      <c r="AU17" s="61" t="s">
        <v>182</v>
      </c>
      <c r="AV17" s="61" t="s">
        <v>182</v>
      </c>
      <c r="AW17" s="61" t="s">
        <v>182</v>
      </c>
      <c r="AX17" s="61" t="s">
        <v>182</v>
      </c>
      <c r="AY17" s="61" t="s">
        <v>182</v>
      </c>
      <c r="AZ17" s="61" t="s">
        <v>182</v>
      </c>
      <c r="BA17" s="61" t="s">
        <v>182</v>
      </c>
      <c r="BB17" s="61" t="s">
        <v>182</v>
      </c>
      <c r="BC17" s="61" t="s">
        <v>182</v>
      </c>
      <c r="BD17" s="61" t="s">
        <v>182</v>
      </c>
      <c r="BE17" s="61" t="s">
        <v>182</v>
      </c>
      <c r="BF17" s="61" t="s">
        <v>182</v>
      </c>
      <c r="BG17" s="61" t="s">
        <v>182</v>
      </c>
      <c r="BH17" s="61" t="s">
        <v>182</v>
      </c>
      <c r="BI17" s="61" t="s">
        <v>182</v>
      </c>
      <c r="BJ17" s="61" t="s">
        <v>182</v>
      </c>
      <c r="BK17" s="61" t="s">
        <v>182</v>
      </c>
      <c r="BL17" s="61" t="s">
        <v>182</v>
      </c>
      <c r="BM17" s="61">
        <f>AVERAGE(ALL_DATA!BN47:BN49)</f>
        <v>2.4000000000000004E-2</v>
      </c>
      <c r="BN17" s="61" t="s">
        <v>182</v>
      </c>
      <c r="BO17" s="61" t="s">
        <v>182</v>
      </c>
      <c r="BP17" s="61" t="s">
        <v>182</v>
      </c>
      <c r="BQ17" s="61" t="s">
        <v>182</v>
      </c>
      <c r="BR17" s="61" t="s">
        <v>182</v>
      </c>
      <c r="BS17" s="61" t="s">
        <v>182</v>
      </c>
      <c r="BT17" s="61" t="s">
        <v>182</v>
      </c>
      <c r="BU17" s="61" t="s">
        <v>182</v>
      </c>
      <c r="BV17" s="61" t="s">
        <v>182</v>
      </c>
      <c r="BW17" s="61" t="s">
        <v>182</v>
      </c>
      <c r="BX17" s="61" t="s">
        <v>182</v>
      </c>
      <c r="BY17" s="61" t="s">
        <v>182</v>
      </c>
      <c r="BZ17" s="61">
        <f>AVERAGE(ALL_DATA!CA47:CA49)</f>
        <v>61.990897206442945</v>
      </c>
      <c r="CA17" s="61">
        <f>AVERAGE(ALL_DATA!CB47:CB49)</f>
        <v>1.9910000000000003</v>
      </c>
      <c r="CB17" s="61">
        <f>AVERAGE(ALL_DATA!CC47:CC49)</f>
        <v>8.1560000000000006</v>
      </c>
      <c r="CC17" s="61">
        <f>AVERAGE(ALL_DATA!CD47:CD49)</f>
        <v>39.198333333333331</v>
      </c>
      <c r="CD17" s="61">
        <f>AVERAGE(ALL_DATA!CE47:CE49)</f>
        <v>8.3874780000000015</v>
      </c>
      <c r="CE17" s="61">
        <f>AVERAGE(ALL_DATA!CF47:CF49)</f>
        <v>83.589843333333334</v>
      </c>
      <c r="CF17" s="61">
        <f>AVERAGE(ALL_DATA!CG47:CG49)</f>
        <v>8.0226783333333334</v>
      </c>
    </row>
    <row r="18" spans="1:84" s="142" customFormat="1" ht="15.75" thickBot="1" x14ac:dyDescent="0.3">
      <c r="A18" s="142" t="s">
        <v>199</v>
      </c>
      <c r="B18" s="142" t="s">
        <v>64</v>
      </c>
      <c r="C18" s="142" t="s">
        <v>159</v>
      </c>
      <c r="D18" s="142" t="s">
        <v>82</v>
      </c>
      <c r="E18" s="143" t="s">
        <v>161</v>
      </c>
      <c r="F18" s="143" t="s">
        <v>162</v>
      </c>
      <c r="G18" s="144">
        <v>44410</v>
      </c>
      <c r="H18" s="145">
        <v>0.42986111111111108</v>
      </c>
      <c r="I18" s="142">
        <f>AVERAGE(ALL_DATA!J50:J52)</f>
        <v>21.233333333333331</v>
      </c>
      <c r="J18" s="142">
        <f>AVERAGE(ALL_DATA!K50:K52)</f>
        <v>7.3910000000000009</v>
      </c>
      <c r="K18" s="142">
        <f>AVERAGE(ALL_DATA!L50:L52)</f>
        <v>0.6333333333333333</v>
      </c>
      <c r="L18" s="142">
        <f>AVERAGE(ALL_DATA!M50:M52)</f>
        <v>0.13656666666666667</v>
      </c>
      <c r="M18" s="142">
        <f>AVERAGE(ALL_DATA!N50:N52)</f>
        <v>-37.799999999999997</v>
      </c>
      <c r="N18" s="142">
        <f>AVERAGE(ALL_DATA!O50:O52)</f>
        <v>19</v>
      </c>
      <c r="O18" s="142">
        <f>AVERAGE(ALL_DATA!P50:P52)</f>
        <v>1178644067.7966101</v>
      </c>
      <c r="P18" s="142">
        <f>AVERAGE(ALL_DATA!Q50:Q52)</f>
        <v>7.2444444444444445</v>
      </c>
      <c r="Q18" s="142">
        <f>AVERAGE(ALL_DATA!R50:R52)</f>
        <v>0.55555555555555547</v>
      </c>
      <c r="R18" s="142">
        <f>AVERAGE(ALL_DATA!S50:S52)</f>
        <v>0.51111111111111107</v>
      </c>
      <c r="S18" s="142">
        <f>AVERAGE(ALL_DATA!T50:T52)</f>
        <v>8.8222222222222229</v>
      </c>
      <c r="T18" s="142">
        <f>AVERAGE(ALL_DATA!U50:U52)</f>
        <v>7.4390952064321167</v>
      </c>
      <c r="U18" s="142">
        <f>AVERAGE(ALL_DATA!V50:V52)</f>
        <v>37.100457454601163</v>
      </c>
      <c r="V18" s="142">
        <f>AVERAGE(ALL_DATA!W50:W52)</f>
        <v>16.349785011593653</v>
      </c>
      <c r="W18" s="142">
        <f>AVERAGE(ALL_DATA!X50:X52)</f>
        <v>6138.4000000000005</v>
      </c>
      <c r="X18" s="142">
        <f>AVERAGE(ALL_DATA!Y50:Y52)</f>
        <v>7.1933333333333325</v>
      </c>
      <c r="Y18" s="142">
        <f>AVERAGE(ALL_DATA!Z50:Z52)</f>
        <v>7.0000000000000007E-2</v>
      </c>
      <c r="Z18" s="142">
        <f>AVERAGE(ALL_DATA!AA50:AA52)</f>
        <v>5.3900000000000006</v>
      </c>
      <c r="AA18" s="142">
        <f>AVERAGE(ALL_DATA!AB50:AB52)</f>
        <v>28.256666666666664</v>
      </c>
      <c r="AB18" s="142">
        <f>AVERAGE(ALL_DATA!AC50:AC52)</f>
        <v>14.133333333333333</v>
      </c>
      <c r="AC18" s="142">
        <f>AVERAGE(ALL_DATA!AD50:AD52)</f>
        <v>23746.87</v>
      </c>
      <c r="AD18" s="142">
        <f>AVERAGE(ALL_DATA!AE50:AE52)</f>
        <v>402.82</v>
      </c>
      <c r="AE18" s="142">
        <f>AVERAGE(ALL_DATA!AF50:AF52)</f>
        <v>19.723333333333333</v>
      </c>
      <c r="AF18" s="142">
        <f>AVERAGE(ALL_DATA!AG50:AG52)</f>
        <v>14.846666666666666</v>
      </c>
      <c r="AG18" s="142" t="s">
        <v>182</v>
      </c>
      <c r="AH18" s="142">
        <f>AVERAGE(ALL_DATA!AI50:AI52)</f>
        <v>33.313333333333325</v>
      </c>
      <c r="AI18" s="142">
        <f>AVERAGE(ALL_DATA!AJ50:AJ52)</f>
        <v>78.066666666666663</v>
      </c>
      <c r="AJ18" s="142">
        <f>AVERAGE(ALL_DATA!AK50:AK52)</f>
        <v>5.3333333333333337E-2</v>
      </c>
      <c r="AK18" s="142">
        <f>AVERAGE(ALL_DATA!AL50:AL52)</f>
        <v>0</v>
      </c>
      <c r="AL18" s="142">
        <f>AVERAGE(ALL_DATA!AM50:AM52)</f>
        <v>0.33100000000000002</v>
      </c>
      <c r="AM18" s="142">
        <f>AVERAGE(ALL_DATA!AN50:AN52)</f>
        <v>7.2469999999999999</v>
      </c>
      <c r="AN18" s="142">
        <f>AVERAGE(ALL_DATA!AO50:AO52)</f>
        <v>470.85866666666669</v>
      </c>
      <c r="AO18" s="142">
        <f>AVERAGE(ALL_DATA!AP50:AP52)</f>
        <v>140.98699999999999</v>
      </c>
      <c r="AP18" s="142">
        <f>AVERAGE(ALL_DATA!AQ50:AQ52)</f>
        <v>35.272612821698473</v>
      </c>
      <c r="AQ18" s="142" t="s">
        <v>182</v>
      </c>
      <c r="AR18" s="142" t="s">
        <v>182</v>
      </c>
      <c r="AS18" s="142" t="s">
        <v>182</v>
      </c>
      <c r="AT18" s="142" t="s">
        <v>182</v>
      </c>
      <c r="AU18" s="142" t="s">
        <v>182</v>
      </c>
      <c r="AV18" s="142" t="s">
        <v>182</v>
      </c>
      <c r="AW18" s="142" t="s">
        <v>182</v>
      </c>
      <c r="AX18" s="142" t="s">
        <v>182</v>
      </c>
      <c r="AY18" s="142" t="s">
        <v>182</v>
      </c>
      <c r="AZ18" s="142" t="s">
        <v>182</v>
      </c>
      <c r="BA18" s="142" t="s">
        <v>182</v>
      </c>
      <c r="BB18" s="142" t="s">
        <v>182</v>
      </c>
      <c r="BC18" s="142" t="s">
        <v>182</v>
      </c>
      <c r="BD18" s="142" t="s">
        <v>182</v>
      </c>
      <c r="BE18" s="142" t="s">
        <v>182</v>
      </c>
      <c r="BF18" s="142" t="s">
        <v>182</v>
      </c>
      <c r="BG18" s="142" t="s">
        <v>182</v>
      </c>
      <c r="BH18" s="142" t="s">
        <v>182</v>
      </c>
      <c r="BI18" s="142" t="s">
        <v>182</v>
      </c>
      <c r="BJ18" s="142" t="s">
        <v>182</v>
      </c>
      <c r="BK18" s="142" t="s">
        <v>182</v>
      </c>
      <c r="BL18" s="142" t="s">
        <v>182</v>
      </c>
      <c r="BM18" s="142" t="s">
        <v>182</v>
      </c>
      <c r="BN18" s="142" t="s">
        <v>182</v>
      </c>
      <c r="BO18" s="142" t="s">
        <v>182</v>
      </c>
      <c r="BP18" s="142" t="s">
        <v>182</v>
      </c>
      <c r="BQ18" s="142" t="s">
        <v>182</v>
      </c>
      <c r="BR18" s="142" t="s">
        <v>182</v>
      </c>
      <c r="BS18" s="142" t="s">
        <v>182</v>
      </c>
      <c r="BT18" s="142" t="s">
        <v>182</v>
      </c>
      <c r="BU18" s="142" t="s">
        <v>182</v>
      </c>
      <c r="BV18" s="142" t="s">
        <v>182</v>
      </c>
      <c r="BW18" s="142" t="s">
        <v>182</v>
      </c>
      <c r="BX18" s="142" t="s">
        <v>182</v>
      </c>
      <c r="BY18" s="142">
        <f>AVERAGE(ALL_DATA!BZ50:BZ52)</f>
        <v>2.5999999999999999E-2</v>
      </c>
      <c r="BZ18" s="142">
        <f>AVERAGE(ALL_DATA!CA50:CA52)</f>
        <v>64.441478624299009</v>
      </c>
      <c r="CA18" s="142">
        <f>AVERAGE(ALL_DATA!CB50:CB52)</f>
        <v>2.4676666666666667</v>
      </c>
      <c r="CB18" s="142">
        <f>AVERAGE(ALL_DATA!CC50:CC52)</f>
        <v>43.617333333333335</v>
      </c>
      <c r="CC18" s="142">
        <f>AVERAGE(ALL_DATA!CD50:CD52)</f>
        <v>408.32499999999999</v>
      </c>
      <c r="CD18" s="142">
        <f>AVERAGE(ALL_DATA!CE50:CE52)</f>
        <v>7.3129483333333338</v>
      </c>
      <c r="CE18" s="142">
        <f>AVERAGE(ALL_DATA!CF50:CF52)</f>
        <v>63.345387999999993</v>
      </c>
      <c r="CF18" s="142">
        <f>AVERAGE(ALL_DATA!CG50:CG52)</f>
        <v>29.341664666666663</v>
      </c>
    </row>
    <row r="19" spans="1:84" s="142" customFormat="1" ht="15.75" thickBot="1" x14ac:dyDescent="0.3">
      <c r="A19" s="142" t="s">
        <v>200</v>
      </c>
      <c r="B19" s="142" t="s">
        <v>74</v>
      </c>
      <c r="C19" s="142" t="s">
        <v>159</v>
      </c>
      <c r="D19" s="142" t="s">
        <v>83</v>
      </c>
      <c r="E19" s="143" t="s">
        <v>163</v>
      </c>
      <c r="F19" s="143" t="s">
        <v>164</v>
      </c>
      <c r="G19" s="162">
        <v>44407</v>
      </c>
      <c r="H19" s="193">
        <v>0.42708333333333331</v>
      </c>
      <c r="I19" s="142">
        <f>AVERAGE(ALL_DATA!J53:J55)</f>
        <v>21.366666666666664</v>
      </c>
      <c r="J19" s="142">
        <f>AVERAGE(ALL_DATA!K53:K55)</f>
        <v>7.1393333333333331</v>
      </c>
      <c r="K19" s="142">
        <f>AVERAGE(ALL_DATA!L53:L55)</f>
        <v>1.8</v>
      </c>
      <c r="L19" s="142">
        <f>AVERAGE(ALL_DATA!M53:M55)</f>
        <v>3.4233333333333333</v>
      </c>
      <c r="M19" s="142">
        <f>AVERAGE(ALL_DATA!N53:N55)</f>
        <v>-24.599999999999998</v>
      </c>
      <c r="N19" s="142">
        <f>AVERAGE(ALL_DATA!O53:O55)</f>
        <v>15</v>
      </c>
      <c r="O19" s="142">
        <f>AVERAGE(ALL_DATA!P53:P55)</f>
        <v>1706362740.8993576</v>
      </c>
      <c r="P19" s="142">
        <f>AVERAGE(ALL_DATA!Q53:Q55)</f>
        <v>0.78888888888888875</v>
      </c>
      <c r="Q19" s="142">
        <f>AVERAGE(ALL_DATA!R53:R55)</f>
        <v>0.68888888888888899</v>
      </c>
      <c r="R19" s="142">
        <f>AVERAGE(ALL_DATA!S53:S55)</f>
        <v>1.788888888888889</v>
      </c>
      <c r="S19" s="142">
        <f>AVERAGE(ALL_DATA!T53:T55)</f>
        <v>3.6148148148148151</v>
      </c>
      <c r="T19" s="142">
        <f>AVERAGE(ALL_DATA!U53:U55)</f>
        <v>11.717504415928019</v>
      </c>
      <c r="U19" s="142">
        <f>AVERAGE(ALL_DATA!V53:V55)</f>
        <v>61.120638078069341</v>
      </c>
      <c r="V19" s="142">
        <f>AVERAGE(ALL_DATA!W53:W55)</f>
        <v>15.665043201256715</v>
      </c>
      <c r="W19" s="142">
        <f>AVERAGE(ALL_DATA!X53:X55)</f>
        <v>6386.920000000001</v>
      </c>
      <c r="X19" s="142">
        <f>AVERAGE(ALL_DATA!Y53:Y55)</f>
        <v>20.49</v>
      </c>
      <c r="Y19" s="142">
        <f>AVERAGE(ALL_DATA!Z53:Z55)</f>
        <v>8.666666666666667E-2</v>
      </c>
      <c r="Z19" s="142">
        <f>AVERAGE(ALL_DATA!AA53:AA55)</f>
        <v>7.2833333333333341</v>
      </c>
      <c r="AA19" s="142">
        <f>AVERAGE(ALL_DATA!AB53:AB55)</f>
        <v>33.18</v>
      </c>
      <c r="AB19" s="142">
        <f>AVERAGE(ALL_DATA!AC53:AC55)</f>
        <v>14.86</v>
      </c>
      <c r="AC19" s="142">
        <f>AVERAGE(ALL_DATA!AD53:AD55)</f>
        <v>30935.52</v>
      </c>
      <c r="AD19" s="142">
        <f>AVERAGE(ALL_DATA!AE53:AE55)</f>
        <v>673.25333333333344</v>
      </c>
      <c r="AE19" s="142">
        <f>AVERAGE(ALL_DATA!AF53:AF55)</f>
        <v>25.133333333333336</v>
      </c>
      <c r="AF19" s="142">
        <f>AVERAGE(ALL_DATA!AG53:AG55)</f>
        <v>14.803333333333333</v>
      </c>
      <c r="AG19" s="142" t="s">
        <v>182</v>
      </c>
      <c r="AH19" s="142">
        <f>AVERAGE(ALL_DATA!AI53:AI55)</f>
        <v>46.123333333333335</v>
      </c>
      <c r="AI19" s="142">
        <f>AVERAGE(ALL_DATA!AJ53:AJ55)</f>
        <v>95.259999999999991</v>
      </c>
      <c r="AJ19" s="142">
        <f>AVERAGE(ALL_DATA!AK53:AK55)</f>
        <v>6.6666666666666666E-2</v>
      </c>
      <c r="AK19" s="142">
        <f>AVERAGE(ALL_DATA!AL53:AL55)</f>
        <v>0</v>
      </c>
      <c r="AL19" s="142">
        <f>AVERAGE(ALL_DATA!AM53:AM55)</f>
        <v>0.18499999999999997</v>
      </c>
      <c r="AM19" s="142">
        <f>AVERAGE(ALL_DATA!AN53:AN55)</f>
        <v>4.5129999999999999</v>
      </c>
      <c r="AN19" s="142">
        <f>AVERAGE(ALL_DATA!AO53:AO55)</f>
        <v>462.87833333333333</v>
      </c>
      <c r="AO19" s="142">
        <f>AVERAGE(ALL_DATA!AP53:AP55)</f>
        <v>121.76366666666668</v>
      </c>
      <c r="AP19" s="142">
        <f>AVERAGE(ALL_DATA!AQ53:AQ55)</f>
        <v>48.07104995038776</v>
      </c>
      <c r="AQ19" s="142" t="s">
        <v>182</v>
      </c>
      <c r="AR19" s="142" t="s">
        <v>182</v>
      </c>
      <c r="AS19" s="142" t="s">
        <v>182</v>
      </c>
      <c r="AT19" s="142" t="s">
        <v>182</v>
      </c>
      <c r="AU19" s="142" t="s">
        <v>182</v>
      </c>
      <c r="AV19" s="142" t="s">
        <v>182</v>
      </c>
      <c r="AW19" s="142" t="s">
        <v>182</v>
      </c>
      <c r="AX19" s="142" t="s">
        <v>182</v>
      </c>
      <c r="AY19" s="142" t="s">
        <v>182</v>
      </c>
      <c r="AZ19" s="142" t="s">
        <v>182</v>
      </c>
      <c r="BA19" s="142" t="s">
        <v>182</v>
      </c>
      <c r="BB19" s="142" t="s">
        <v>182</v>
      </c>
      <c r="BC19" s="142" t="s">
        <v>182</v>
      </c>
      <c r="BD19" s="142" t="s">
        <v>182</v>
      </c>
      <c r="BE19" s="142" t="s">
        <v>182</v>
      </c>
      <c r="BF19" s="142" t="s">
        <v>182</v>
      </c>
      <c r="BG19" s="142" t="s">
        <v>182</v>
      </c>
      <c r="BH19" s="142" t="s">
        <v>182</v>
      </c>
      <c r="BI19" s="142" t="s">
        <v>182</v>
      </c>
      <c r="BJ19" s="142" t="s">
        <v>182</v>
      </c>
      <c r="BK19" s="142" t="s">
        <v>182</v>
      </c>
      <c r="BL19" s="142" t="s">
        <v>182</v>
      </c>
      <c r="BM19" s="142">
        <f>AVERAGE(ALL_DATA!BN53:BN55)</f>
        <v>3.3000000000000002E-2</v>
      </c>
      <c r="BN19" s="142" t="s">
        <v>182</v>
      </c>
      <c r="BO19" s="142" t="s">
        <v>182</v>
      </c>
      <c r="BP19" s="142" t="s">
        <v>182</v>
      </c>
      <c r="BQ19" s="142" t="s">
        <v>182</v>
      </c>
      <c r="BR19" s="142" t="s">
        <v>182</v>
      </c>
      <c r="BS19" s="142" t="s">
        <v>182</v>
      </c>
      <c r="BT19" s="142" t="s">
        <v>182</v>
      </c>
      <c r="BU19" s="142" t="s">
        <v>182</v>
      </c>
      <c r="BV19" s="142" t="s">
        <v>182</v>
      </c>
      <c r="BW19" s="142" t="s">
        <v>182</v>
      </c>
      <c r="BX19" s="142" t="s">
        <v>182</v>
      </c>
      <c r="BY19" s="142" t="s">
        <v>182</v>
      </c>
      <c r="BZ19" s="142">
        <f>AVERAGE(ALL_DATA!CA53:CA55)</f>
        <v>69.063239715400826</v>
      </c>
      <c r="CA19" s="142">
        <f>AVERAGE(ALL_DATA!CB53:CB55)</f>
        <v>1.9613333333333334</v>
      </c>
      <c r="CB19" s="142">
        <f>AVERAGE(ALL_DATA!CC53:CC55)</f>
        <v>8.5123333333333324</v>
      </c>
      <c r="CC19" s="142">
        <f>AVERAGE(ALL_DATA!CD53:CD55)</f>
        <v>58.615333333333332</v>
      </c>
      <c r="CD19" s="142">
        <f>AVERAGE(ALL_DATA!CE53:CE55)</f>
        <v>8.6726466666666671</v>
      </c>
      <c r="CE19" s="142">
        <f>AVERAGE(ALL_DATA!CF53:CF55)</f>
        <v>79.804508333333331</v>
      </c>
      <c r="CF19" s="142">
        <f>AVERAGE(ALL_DATA!CG53:CG55)</f>
        <v>11.522844666666664</v>
      </c>
    </row>
    <row r="20" spans="1:84" s="142" customFormat="1" ht="15.75" thickBot="1" x14ac:dyDescent="0.3">
      <c r="A20" s="142" t="s">
        <v>201</v>
      </c>
      <c r="B20" s="142" t="s">
        <v>75</v>
      </c>
      <c r="C20" s="142" t="s">
        <v>159</v>
      </c>
      <c r="D20" s="142" t="s">
        <v>84</v>
      </c>
      <c r="E20" s="143" t="s">
        <v>165</v>
      </c>
      <c r="F20" s="143" t="s">
        <v>166</v>
      </c>
      <c r="G20" s="144">
        <v>44403</v>
      </c>
      <c r="H20" s="145">
        <v>0.43055555555555558</v>
      </c>
      <c r="I20" s="142">
        <f>AVERAGE(ALL_DATA!J56:J58)</f>
        <v>20.233333333333331</v>
      </c>
      <c r="J20" s="142">
        <f>AVERAGE(ALL_DATA!K56:K58)</f>
        <v>7.1663333333333332</v>
      </c>
      <c r="K20" s="142">
        <f>AVERAGE(ALL_DATA!L56:L58)</f>
        <v>16.133333333333333</v>
      </c>
      <c r="L20" s="142">
        <f>AVERAGE(ALL_DATA!M56:M58)</f>
        <v>26.233333333333331</v>
      </c>
      <c r="M20" s="142">
        <f>AVERAGE(ALL_DATA!N56:N58)</f>
        <v>-26.466666666666669</v>
      </c>
      <c r="N20" s="142">
        <f>AVERAGE(ALL_DATA!O56:O58)</f>
        <v>7.7333333333333334</v>
      </c>
      <c r="O20" s="142">
        <f>AVERAGE(ALL_DATA!P56:P58)</f>
        <v>6276338758.0299788</v>
      </c>
      <c r="P20" s="142">
        <f>AVERAGE(ALL_DATA!Q56:Q58)</f>
        <v>93.333333333333329</v>
      </c>
      <c r="Q20" s="142">
        <f>AVERAGE(ALL_DATA!R56:R58)</f>
        <v>2.1333333333333333</v>
      </c>
      <c r="R20" s="142">
        <f>AVERAGE(ALL_DATA!S56:S58)</f>
        <v>3.2888888888888892</v>
      </c>
      <c r="S20" s="142">
        <f>AVERAGE(ALL_DATA!T56:T58)</f>
        <v>99.792592592592598</v>
      </c>
      <c r="T20" s="142">
        <f>AVERAGE(ALL_DATA!U56:U58)</f>
        <v>11.731260831518298</v>
      </c>
      <c r="U20" s="142">
        <f>AVERAGE(ALL_DATA!V56:V58)</f>
        <v>12.696257636060986</v>
      </c>
      <c r="V20" s="142">
        <f>AVERAGE(ALL_DATA!W56:W58)</f>
        <v>44.792831282392704</v>
      </c>
      <c r="W20" s="142">
        <f>AVERAGE(ALL_DATA!X56:X58)</f>
        <v>5696.2066666666678</v>
      </c>
      <c r="X20" s="142">
        <f>AVERAGE(ALL_DATA!Y56:Y58)</f>
        <v>13.43</v>
      </c>
      <c r="Y20" s="142">
        <f>AVERAGE(ALL_DATA!Z56:Z58)</f>
        <v>8.666666666666667E-2</v>
      </c>
      <c r="Z20" s="142">
        <f>AVERAGE(ALL_DATA!AA56:AA58)</f>
        <v>3.64</v>
      </c>
      <c r="AA20" s="142">
        <f>AVERAGE(ALL_DATA!AB56:AB58)</f>
        <v>19.903333333333332</v>
      </c>
      <c r="AB20" s="142">
        <f>AVERAGE(ALL_DATA!AC56:AC58)</f>
        <v>9.336666666666666</v>
      </c>
      <c r="AC20" s="142">
        <f>AVERAGE(ALL_DATA!AD56:AD58)</f>
        <v>16883.003333333334</v>
      </c>
      <c r="AD20" s="142">
        <f>AVERAGE(ALL_DATA!AE56:AE58)</f>
        <v>210.20666666666668</v>
      </c>
      <c r="AE20" s="142">
        <f>AVERAGE(ALL_DATA!AF56:AF58)</f>
        <v>12.776666666666666</v>
      </c>
      <c r="AF20" s="142">
        <f>AVERAGE(ALL_DATA!AG56:AG58)</f>
        <v>9.82</v>
      </c>
      <c r="AG20" s="142" t="s">
        <v>182</v>
      </c>
      <c r="AH20" s="142">
        <f>AVERAGE(ALL_DATA!AI56:AI58)</f>
        <v>29.169999999999998</v>
      </c>
      <c r="AI20" s="142">
        <f>AVERAGE(ALL_DATA!AJ56:AJ58)</f>
        <v>56.023333333333333</v>
      </c>
      <c r="AJ20" s="142">
        <f>AVERAGE(ALL_DATA!AK56:AK58)</f>
        <v>4.9999999999999996E-2</v>
      </c>
      <c r="AK20" s="142">
        <f>AVERAGE(ALL_DATA!AL56:AL58)</f>
        <v>0.71200000000000008</v>
      </c>
      <c r="AL20" s="142">
        <f>AVERAGE(ALL_DATA!AM56:AM58)</f>
        <v>0.58199999999999996</v>
      </c>
      <c r="AM20" s="142">
        <f>AVERAGE(ALL_DATA!AN56:AN58)</f>
        <v>6.12</v>
      </c>
      <c r="AN20" s="142">
        <f>AVERAGE(ALL_DATA!AO56:AO58)</f>
        <v>212.21133333333333</v>
      </c>
      <c r="AO20" s="142">
        <f>AVERAGE(ALL_DATA!AP56:AP58)</f>
        <v>43.656333333333329</v>
      </c>
      <c r="AP20" s="142">
        <f>AVERAGE(ALL_DATA!AQ56:AQ58)</f>
        <v>61.17352011316936</v>
      </c>
      <c r="AQ20" s="142">
        <f>AVERAGE(ALL_DATA!AR56:AR58)</f>
        <v>8.9999999999999993E-3</v>
      </c>
      <c r="AR20" s="142" t="s">
        <v>182</v>
      </c>
      <c r="AS20" s="142" t="s">
        <v>182</v>
      </c>
      <c r="AT20" s="142" t="s">
        <v>182</v>
      </c>
      <c r="AU20" s="142" t="s">
        <v>182</v>
      </c>
      <c r="AV20" s="142" t="s">
        <v>182</v>
      </c>
      <c r="AW20" s="142" t="s">
        <v>182</v>
      </c>
      <c r="AX20" s="142" t="s">
        <v>182</v>
      </c>
      <c r="AY20" s="142" t="s">
        <v>182</v>
      </c>
      <c r="AZ20" s="142" t="s">
        <v>182</v>
      </c>
      <c r="BA20" s="142" t="s">
        <v>182</v>
      </c>
      <c r="BB20" s="142" t="s">
        <v>182</v>
      </c>
      <c r="BC20" s="142" t="s">
        <v>182</v>
      </c>
      <c r="BD20" s="142" t="s">
        <v>182</v>
      </c>
      <c r="BE20" s="142">
        <f>AVERAGE(ALL_DATA!BF56:BF58)</f>
        <v>6.8000000000000005E-2</v>
      </c>
      <c r="BF20" s="142" t="s">
        <v>182</v>
      </c>
      <c r="BG20" s="142" t="s">
        <v>182</v>
      </c>
      <c r="BH20" s="142" t="s">
        <v>182</v>
      </c>
      <c r="BI20" s="142" t="s">
        <v>182</v>
      </c>
      <c r="BJ20" s="142" t="s">
        <v>182</v>
      </c>
      <c r="BK20" s="142" t="s">
        <v>182</v>
      </c>
      <c r="BL20" s="142" t="s">
        <v>182</v>
      </c>
      <c r="BM20" s="142" t="s">
        <v>182</v>
      </c>
      <c r="BN20" s="142" t="s">
        <v>182</v>
      </c>
      <c r="BO20" s="142">
        <f>AVERAGE(ALL_DATA!BP56:BP58)</f>
        <v>0.01</v>
      </c>
      <c r="BP20" s="142" t="s">
        <v>182</v>
      </c>
      <c r="BQ20" s="142" t="s">
        <v>182</v>
      </c>
      <c r="BR20" s="142" t="s">
        <v>182</v>
      </c>
      <c r="BS20" s="142" t="s">
        <v>182</v>
      </c>
      <c r="BT20" s="142">
        <f>AVERAGE(ALL_DATA!BU56:BU58)</f>
        <v>0.03</v>
      </c>
      <c r="BU20" s="142" t="s">
        <v>182</v>
      </c>
      <c r="BV20" s="142" t="s">
        <v>182</v>
      </c>
      <c r="BW20" s="142" t="s">
        <v>182</v>
      </c>
      <c r="BX20" s="142" t="s">
        <v>182</v>
      </c>
      <c r="BY20" s="142" t="s">
        <v>182</v>
      </c>
      <c r="BZ20" s="142">
        <f>AVERAGE(ALL_DATA!CA56:CA58)</f>
        <v>47.15648966319759</v>
      </c>
      <c r="CA20" s="142">
        <f>AVERAGE(ALL_DATA!CB56:CB58)</f>
        <v>2.3326666666666669</v>
      </c>
      <c r="CB20" s="142">
        <f>AVERAGE(ALL_DATA!CC56:CC58)</f>
        <v>11.612</v>
      </c>
      <c r="CC20" s="142">
        <f>AVERAGE(ALL_DATA!CD56:CD58)</f>
        <v>133.79</v>
      </c>
      <c r="CD20" s="142">
        <f>AVERAGE(ALL_DATA!CE56:CE58)</f>
        <v>6.5692260000000005</v>
      </c>
      <c r="CE20" s="142">
        <f>AVERAGE(ALL_DATA!CF56:CF58)</f>
        <v>64.995916333333341</v>
      </c>
      <c r="CF20" s="142">
        <f>AVERAGE(ALL_DATA!CG56:CG58)</f>
        <v>28.434857000000004</v>
      </c>
    </row>
    <row r="21" spans="1:84" s="142" customFormat="1" ht="15.75" thickBot="1" x14ac:dyDescent="0.3">
      <c r="A21" s="142" t="s">
        <v>202</v>
      </c>
      <c r="B21" s="142" t="s">
        <v>76</v>
      </c>
      <c r="C21" s="142" t="s">
        <v>159</v>
      </c>
      <c r="D21" s="142" t="s">
        <v>83</v>
      </c>
      <c r="E21" s="143" t="s">
        <v>167</v>
      </c>
      <c r="F21" s="143" t="s">
        <v>168</v>
      </c>
      <c r="G21" s="162">
        <v>44403</v>
      </c>
      <c r="H21" s="193">
        <v>0.53125</v>
      </c>
      <c r="I21" s="142">
        <f>AVERAGE(ALL_DATA!J59:J61)</f>
        <v>23.399999999999995</v>
      </c>
      <c r="J21" s="142">
        <f>AVERAGE(ALL_DATA!K59:K61)</f>
        <v>7.1873333333333322</v>
      </c>
      <c r="K21" s="142">
        <f>AVERAGE(ALL_DATA!L59:L61)</f>
        <v>6.8666666666666671</v>
      </c>
      <c r="L21" s="142">
        <f>AVERAGE(ALL_DATA!M59:M61)</f>
        <v>11.916666666666666</v>
      </c>
      <c r="M21" s="142">
        <f>AVERAGE(ALL_DATA!N59:N61)</f>
        <v>-27.7</v>
      </c>
      <c r="N21" s="142">
        <f>AVERAGE(ALL_DATA!O59:O61)</f>
        <v>12.633333333333333</v>
      </c>
      <c r="O21" s="142">
        <f>AVERAGE(ALL_DATA!P59:P61)</f>
        <v>3803091525.4237289</v>
      </c>
      <c r="P21" s="142">
        <f>AVERAGE(ALL_DATA!Q59:Q61)</f>
        <v>1.6666666666666667</v>
      </c>
      <c r="Q21" s="142">
        <f>AVERAGE(ALL_DATA!R59:R61)</f>
        <v>0.56111111111111112</v>
      </c>
      <c r="R21" s="142">
        <f>AVERAGE(ALL_DATA!S59:S61)</f>
        <v>0.51666666666666672</v>
      </c>
      <c r="S21" s="142">
        <f>AVERAGE(ALL_DATA!T59:T61)</f>
        <v>3.2851851851851852</v>
      </c>
      <c r="T21" s="142">
        <f>AVERAGE(ALL_DATA!U59:U61)</f>
        <v>9.6805866203711144</v>
      </c>
      <c r="U21" s="142">
        <f>AVERAGE(ALL_DATA!V59:V61)</f>
        <v>45.22946167173049</v>
      </c>
      <c r="V21" s="142">
        <f>AVERAGE(ALL_DATA!W59:W61)</f>
        <v>16.947697354505205</v>
      </c>
      <c r="W21" s="142">
        <f>AVERAGE(ALL_DATA!X59:X61)</f>
        <v>6442.8166666666666</v>
      </c>
      <c r="X21" s="142">
        <f>AVERAGE(ALL_DATA!Y59:Y61)</f>
        <v>17.383333333333336</v>
      </c>
      <c r="Y21" s="142">
        <f>AVERAGE(ALL_DATA!Z59:Z61)</f>
        <v>9.6666666666666679E-2</v>
      </c>
      <c r="Z21" s="142">
        <f>AVERAGE(ALL_DATA!AA59:AA61)</f>
        <v>6.6700000000000008</v>
      </c>
      <c r="AA21" s="142">
        <f>AVERAGE(ALL_DATA!AB59:AB61)</f>
        <v>32.56</v>
      </c>
      <c r="AB21" s="142">
        <f>AVERAGE(ALL_DATA!AC59:AC61)</f>
        <v>16.156666666666666</v>
      </c>
      <c r="AC21" s="142">
        <f>AVERAGE(ALL_DATA!AD59:AD61)</f>
        <v>28539.066666666666</v>
      </c>
      <c r="AD21" s="142">
        <f>AVERAGE(ALL_DATA!AE59:AE61)</f>
        <v>644.42999999999995</v>
      </c>
      <c r="AE21" s="142">
        <f>AVERAGE(ALL_DATA!AF59:AF61)</f>
        <v>23.850000000000005</v>
      </c>
      <c r="AF21" s="142">
        <f>AVERAGE(ALL_DATA!AG59:AG61)</f>
        <v>14.92</v>
      </c>
      <c r="AG21" s="142" t="s">
        <v>182</v>
      </c>
      <c r="AH21" s="142">
        <f>AVERAGE(ALL_DATA!AI59:AI61)</f>
        <v>45.59</v>
      </c>
      <c r="AI21" s="142">
        <f>AVERAGE(ALL_DATA!AJ59:AJ61)</f>
        <v>115.88666666666666</v>
      </c>
      <c r="AJ21" s="142">
        <f>AVERAGE(ALL_DATA!AK59:AK61)</f>
        <v>6.3333333333333339E-2</v>
      </c>
      <c r="AK21" s="142">
        <f>AVERAGE(ALL_DATA!AL59:AL61)</f>
        <v>0</v>
      </c>
      <c r="AL21" s="142">
        <f>AVERAGE(ALL_DATA!AM59:AM61)</f>
        <v>0.23199999999999998</v>
      </c>
      <c r="AM21" s="142">
        <f>AVERAGE(ALL_DATA!AN59:AN61)</f>
        <v>6.8936666666666673</v>
      </c>
      <c r="AN21" s="142">
        <f>AVERAGE(ALL_DATA!AO59:AO61)</f>
        <v>457.9666666666667</v>
      </c>
      <c r="AO21" s="142">
        <f>AVERAGE(ALL_DATA!AP59:AP61)</f>
        <v>149.12966666666665</v>
      </c>
      <c r="AP21" s="142">
        <f>AVERAGE(ALL_DATA!AQ59:AQ61)</f>
        <v>29.134676305183451</v>
      </c>
      <c r="AQ21" s="142" t="s">
        <v>182</v>
      </c>
      <c r="AR21" s="142" t="s">
        <v>182</v>
      </c>
      <c r="AS21" s="142" t="s">
        <v>182</v>
      </c>
      <c r="AT21" s="142" t="s">
        <v>182</v>
      </c>
      <c r="AU21" s="142" t="s">
        <v>182</v>
      </c>
      <c r="AV21" s="142" t="s">
        <v>182</v>
      </c>
      <c r="AW21" s="142" t="s">
        <v>182</v>
      </c>
      <c r="AX21" s="142" t="s">
        <v>182</v>
      </c>
      <c r="AY21" s="142" t="s">
        <v>182</v>
      </c>
      <c r="AZ21" s="142" t="s">
        <v>182</v>
      </c>
      <c r="BA21" s="142" t="s">
        <v>182</v>
      </c>
      <c r="BB21" s="142" t="s">
        <v>182</v>
      </c>
      <c r="BC21" s="142" t="s">
        <v>182</v>
      </c>
      <c r="BD21" s="142" t="s">
        <v>182</v>
      </c>
      <c r="BE21" s="142">
        <f>AVERAGE(ALL_DATA!BF59:BF61)</f>
        <v>8.2000000000000003E-2</v>
      </c>
      <c r="BF21" s="142" t="s">
        <v>182</v>
      </c>
      <c r="BG21" s="142" t="s">
        <v>182</v>
      </c>
      <c r="BH21" s="142" t="s">
        <v>182</v>
      </c>
      <c r="BI21" s="142" t="s">
        <v>182</v>
      </c>
      <c r="BJ21" s="142" t="s">
        <v>182</v>
      </c>
      <c r="BK21" s="142" t="s">
        <v>182</v>
      </c>
      <c r="BL21" s="142" t="s">
        <v>182</v>
      </c>
      <c r="BM21" s="142">
        <f>AVERAGE(ALL_DATA!BN59:BN61)</f>
        <v>0.08</v>
      </c>
      <c r="BN21" s="142" t="s">
        <v>182</v>
      </c>
      <c r="BO21" s="142">
        <f>AVERAGE(ALL_DATA!BP59:BP61)</f>
        <v>1.7000000000000001E-2</v>
      </c>
      <c r="BP21" s="142" t="s">
        <v>182</v>
      </c>
      <c r="BQ21" s="142" t="s">
        <v>182</v>
      </c>
      <c r="BR21" s="142" t="s">
        <v>182</v>
      </c>
      <c r="BS21" s="142" t="s">
        <v>182</v>
      </c>
      <c r="BT21" s="142">
        <f>AVERAGE(ALL_DATA!BU59:BU61)</f>
        <v>5.2999999999999999E-2</v>
      </c>
      <c r="BU21" s="142" t="s">
        <v>182</v>
      </c>
      <c r="BV21" s="142">
        <f>AVERAGE(ALL_DATA!BW59:BW61)</f>
        <v>5.0999999999999997E-2</v>
      </c>
      <c r="BW21" s="142" t="s">
        <v>182</v>
      </c>
      <c r="BX21" s="142" t="s">
        <v>182</v>
      </c>
      <c r="BY21" s="142" t="s">
        <v>182</v>
      </c>
      <c r="BZ21" s="142">
        <f>AVERAGE(ALL_DATA!CA59:CA61)</f>
        <v>63.735426174103367</v>
      </c>
      <c r="CA21" s="142">
        <f>AVERAGE(ALL_DATA!CB59:CB61)</f>
        <v>1.7746666666666666</v>
      </c>
      <c r="CB21" s="142">
        <f>AVERAGE(ALL_DATA!CC59:CC61)</f>
        <v>7.8633333333333333</v>
      </c>
      <c r="CC21" s="142">
        <f>AVERAGE(ALL_DATA!CD59:CD61)</f>
        <v>60.010333333333335</v>
      </c>
      <c r="CD21" s="142">
        <f>AVERAGE(ALL_DATA!CE59:CE61)</f>
        <v>10.184694333333333</v>
      </c>
      <c r="CE21" s="142">
        <f>AVERAGE(ALL_DATA!CF59:CF61)</f>
        <v>79.385345000000015</v>
      </c>
      <c r="CF21" s="142">
        <f>AVERAGE(ALL_DATA!CG59:CG61)</f>
        <v>10.429960333333334</v>
      </c>
    </row>
    <row r="22" spans="1:84" s="142" customFormat="1" ht="15.75" thickBot="1" x14ac:dyDescent="0.3">
      <c r="A22" s="142" t="s">
        <v>203</v>
      </c>
      <c r="B22" s="142" t="s">
        <v>77</v>
      </c>
      <c r="C22" s="142" t="s">
        <v>159</v>
      </c>
      <c r="D22" s="142" t="s">
        <v>84</v>
      </c>
      <c r="E22" s="143" t="s">
        <v>169</v>
      </c>
      <c r="F22" s="143" t="s">
        <v>170</v>
      </c>
      <c r="G22" s="144">
        <v>44404</v>
      </c>
      <c r="H22" s="145">
        <v>0.45833333333333331</v>
      </c>
      <c r="I22" s="142">
        <f>AVERAGE(ALL_DATA!J62:J64)</f>
        <v>20</v>
      </c>
      <c r="J22" s="142">
        <f>AVERAGE(ALL_DATA!K62:K64)</f>
        <v>7.3786666666666676</v>
      </c>
      <c r="K22" s="142">
        <f>AVERAGE(ALL_DATA!L62:L64)</f>
        <v>32.533333333333331</v>
      </c>
      <c r="L22" s="142">
        <f>AVERAGE(ALL_DATA!M62:M64)</f>
        <v>51.133333333333333</v>
      </c>
      <c r="M22" s="142">
        <f>AVERAGE(ALL_DATA!N62:N64)</f>
        <v>-37.966666666666669</v>
      </c>
      <c r="N22" s="142">
        <f>AVERAGE(ALL_DATA!O62:O64)</f>
        <v>6.3666666666666671</v>
      </c>
      <c r="O22" s="142">
        <f>AVERAGE(ALL_DATA!P62:P64)</f>
        <v>7569935911.60221</v>
      </c>
      <c r="P22" s="142">
        <f>AVERAGE(ALL_DATA!Q62:Q64)</f>
        <v>95.733333333333334</v>
      </c>
      <c r="Q22" s="142">
        <f>AVERAGE(ALL_DATA!R62:R64)</f>
        <v>8.1777777777777771</v>
      </c>
      <c r="R22" s="142">
        <f>AVERAGE(ALL_DATA!S62:S64)</f>
        <v>6.5777777777777784</v>
      </c>
      <c r="S22" s="142">
        <f>AVERAGE(ALL_DATA!T62:T64)</f>
        <v>112.38518518518519</v>
      </c>
      <c r="T22" s="142">
        <f>AVERAGE(ALL_DATA!U62:U64)</f>
        <v>6.7458814601743482</v>
      </c>
      <c r="U22" s="142">
        <f>AVERAGE(ALL_DATA!V62:V64)</f>
        <v>14.824137686595165</v>
      </c>
      <c r="V22" s="142">
        <f>AVERAGE(ALL_DATA!W62:W64)</f>
        <v>30.527613344674506</v>
      </c>
      <c r="W22" s="142">
        <f>AVERAGE(ALL_DATA!X62:X64)</f>
        <v>5913.1499999999987</v>
      </c>
      <c r="X22" s="142">
        <f>AVERAGE(ALL_DATA!Y62:Y64)</f>
        <v>11.753333333333332</v>
      </c>
      <c r="Y22" s="142">
        <f>AVERAGE(ALL_DATA!Z62:Z64)</f>
        <v>9.0000000000000011E-2</v>
      </c>
      <c r="Z22" s="142">
        <f>AVERAGE(ALL_DATA!AA62:AA64)</f>
        <v>6.5999999999999988</v>
      </c>
      <c r="AA22" s="142">
        <f>AVERAGE(ALL_DATA!AB62:AB64)</f>
        <v>19.683333333333334</v>
      </c>
      <c r="AB22" s="142">
        <f>AVERAGE(ALL_DATA!AC62:AC64)</f>
        <v>11.743333333333334</v>
      </c>
      <c r="AC22" s="142">
        <f>AVERAGE(ALL_DATA!AD62:AD64)</f>
        <v>18062.600000000002</v>
      </c>
      <c r="AD22" s="142">
        <f>AVERAGE(ALL_DATA!AE62:AE64)</f>
        <v>260.68666666666667</v>
      </c>
      <c r="AE22" s="142">
        <f>AVERAGE(ALL_DATA!AF62:AF64)</f>
        <v>13.693333333333333</v>
      </c>
      <c r="AF22" s="142">
        <f>AVERAGE(ALL_DATA!AG62:AG64)</f>
        <v>18.346666666666668</v>
      </c>
      <c r="AG22" s="142" t="s">
        <v>182</v>
      </c>
      <c r="AH22" s="142">
        <f>AVERAGE(ALL_DATA!AI62:AI64)</f>
        <v>26.903333333333332</v>
      </c>
      <c r="AI22" s="142">
        <f>AVERAGE(ALL_DATA!AJ62:AJ64)</f>
        <v>66.45</v>
      </c>
      <c r="AJ22" s="142">
        <f>AVERAGE(ALL_DATA!AK62:AK64)</f>
        <v>7.3333333333333348E-2</v>
      </c>
      <c r="AK22" s="142">
        <f>AVERAGE(ALL_DATA!AL62:AL64)</f>
        <v>0</v>
      </c>
      <c r="AL22" s="142">
        <f>AVERAGE(ALL_DATA!AM62:AM64)</f>
        <v>0.65333333333333332</v>
      </c>
      <c r="AM22" s="142">
        <f>AVERAGE(ALL_DATA!AN62:AN64)</f>
        <v>7.0266666666666673</v>
      </c>
      <c r="AN22" s="142">
        <f>AVERAGE(ALL_DATA!AO62:AO64)</f>
        <v>179.66</v>
      </c>
      <c r="AO22" s="142">
        <f>AVERAGE(ALL_DATA!AP62:AP64)</f>
        <v>105.20333333333333</v>
      </c>
      <c r="AP22" s="142">
        <f>AVERAGE(ALL_DATA!AQ62:AQ64)</f>
        <v>47.926485067925604</v>
      </c>
      <c r="AQ22" s="142" t="s">
        <v>182</v>
      </c>
      <c r="AR22" s="142" t="s">
        <v>182</v>
      </c>
      <c r="AS22" s="142" t="s">
        <v>182</v>
      </c>
      <c r="AT22" s="142" t="s">
        <v>182</v>
      </c>
      <c r="AU22" s="142" t="s">
        <v>182</v>
      </c>
      <c r="AV22" s="142" t="s">
        <v>182</v>
      </c>
      <c r="AW22" s="142" t="s">
        <v>182</v>
      </c>
      <c r="AX22" s="142" t="s">
        <v>182</v>
      </c>
      <c r="AY22" s="142" t="s">
        <v>182</v>
      </c>
      <c r="AZ22" s="142" t="s">
        <v>182</v>
      </c>
      <c r="BA22" s="142" t="s">
        <v>182</v>
      </c>
      <c r="BB22" s="142" t="s">
        <v>182</v>
      </c>
      <c r="BC22" s="142">
        <f>AVERAGE(ALL_DATA!BD62:BD64)</f>
        <v>6.3E-2</v>
      </c>
      <c r="BD22" s="142" t="s">
        <v>182</v>
      </c>
      <c r="BE22" s="142">
        <f>AVERAGE(ALL_DATA!BF62:BF64)</f>
        <v>0.14699999999999999</v>
      </c>
      <c r="BF22" s="142" t="s">
        <v>182</v>
      </c>
      <c r="BG22" s="142" t="s">
        <v>182</v>
      </c>
      <c r="BH22" s="142" t="s">
        <v>182</v>
      </c>
      <c r="BI22" s="142" t="s">
        <v>182</v>
      </c>
      <c r="BJ22" s="142" t="s">
        <v>182</v>
      </c>
      <c r="BK22" s="142" t="s">
        <v>182</v>
      </c>
      <c r="BL22" s="142" t="s">
        <v>182</v>
      </c>
      <c r="BM22" s="142">
        <f>AVERAGE(ALL_DATA!BN62:BN64)</f>
        <v>0.14299999999999999</v>
      </c>
      <c r="BN22" s="142" t="s">
        <v>182</v>
      </c>
      <c r="BO22" s="142">
        <f>AVERAGE(ALL_DATA!BP62:BP64)</f>
        <v>4.2000000000000003E-2</v>
      </c>
      <c r="BP22" s="142">
        <f>AVERAGE(ALL_DATA!BQ62:BQ64)</f>
        <v>3.9E-2</v>
      </c>
      <c r="BQ22" s="142" t="s">
        <v>182</v>
      </c>
      <c r="BR22" s="142" t="s">
        <v>182</v>
      </c>
      <c r="BS22" s="142" t="s">
        <v>182</v>
      </c>
      <c r="BT22" s="142">
        <f>AVERAGE(ALL_DATA!BU62:BU64)</f>
        <v>9.2000000000000012E-2</v>
      </c>
      <c r="BU22" s="142" t="s">
        <v>182</v>
      </c>
      <c r="BV22" s="142">
        <f>AVERAGE(ALL_DATA!BW62:BW64)</f>
        <v>0.155</v>
      </c>
      <c r="BW22" s="142" t="s">
        <v>182</v>
      </c>
      <c r="BX22" s="142" t="s">
        <v>182</v>
      </c>
      <c r="BY22" s="142" t="s">
        <v>182</v>
      </c>
      <c r="BZ22" s="142">
        <f>AVERAGE(ALL_DATA!CA62:CA64)</f>
        <v>48.093766041353511</v>
      </c>
      <c r="CA22" s="142">
        <f>AVERAGE(ALL_DATA!CB62:CB64)</f>
        <v>2.2106666666666666</v>
      </c>
      <c r="CB22" s="142">
        <f>AVERAGE(ALL_DATA!CC62:CC64)</f>
        <v>11.038000000000002</v>
      </c>
      <c r="CC22" s="142">
        <f>AVERAGE(ALL_DATA!CD62:CD64)</f>
        <v>110.92466666666667</v>
      </c>
      <c r="CD22" s="142">
        <f>AVERAGE(ALL_DATA!CE62:CE64)</f>
        <v>7.0867433333333336</v>
      </c>
      <c r="CE22" s="142">
        <f>AVERAGE(ALL_DATA!CF62:CF64)</f>
        <v>68.145217666666667</v>
      </c>
      <c r="CF22" s="142">
        <f>AVERAGE(ALL_DATA!CG62:CG64)</f>
        <v>24.768038333333333</v>
      </c>
    </row>
    <row r="23" spans="1:84" s="142" customFormat="1" ht="15.75" thickBot="1" x14ac:dyDescent="0.3">
      <c r="A23" s="142" t="s">
        <v>204</v>
      </c>
      <c r="B23" s="142" t="s">
        <v>78</v>
      </c>
      <c r="C23" s="142" t="s">
        <v>159</v>
      </c>
      <c r="D23" s="142" t="s">
        <v>84</v>
      </c>
      <c r="E23" s="143" t="s">
        <v>171</v>
      </c>
      <c r="F23" s="143" t="s">
        <v>172</v>
      </c>
      <c r="G23" s="162">
        <v>44405</v>
      </c>
      <c r="H23" s="193">
        <v>0.53125</v>
      </c>
      <c r="I23" s="142">
        <f>AVERAGE(ALL_DATA!J65:J67)</f>
        <v>23.033333333333331</v>
      </c>
      <c r="J23" s="142">
        <f>AVERAGE(ALL_DATA!K65:K67)</f>
        <v>7.1849999999999996</v>
      </c>
      <c r="K23" s="142">
        <f>AVERAGE(ALL_DATA!L65:L67)</f>
        <v>28.3</v>
      </c>
      <c r="L23" s="142">
        <f>AVERAGE(ALL_DATA!M65:M67)</f>
        <v>44.133333333333326</v>
      </c>
      <c r="M23" s="142">
        <f>AVERAGE(ALL_DATA!N65:N67)</f>
        <v>-31.600000000000005</v>
      </c>
      <c r="N23" s="142">
        <f>AVERAGE(ALL_DATA!O65:O67)</f>
        <v>14.5</v>
      </c>
      <c r="O23" s="142">
        <f>AVERAGE(ALL_DATA!P65:P67)</f>
        <v>3739328813.5593224</v>
      </c>
      <c r="P23" s="142">
        <f>AVERAGE(ALL_DATA!Q65:Q67)</f>
        <v>89.1111111111111</v>
      </c>
      <c r="Q23" s="142">
        <f>AVERAGE(ALL_DATA!R65:R67)</f>
        <v>4.1333333333333337</v>
      </c>
      <c r="R23" s="142">
        <f>AVERAGE(ALL_DATA!S65:S67)</f>
        <v>1.0222222222222221</v>
      </c>
      <c r="S23" s="142">
        <f>AVERAGE(ALL_DATA!T65:T67)</f>
        <v>95.970370370370389</v>
      </c>
      <c r="T23" s="142">
        <f>AVERAGE(ALL_DATA!U65:U67)</f>
        <v>11.933311150311246</v>
      </c>
      <c r="U23" s="142">
        <f>AVERAGE(ALL_DATA!V65:V67)</f>
        <v>22.968354925548379</v>
      </c>
      <c r="V23" s="142">
        <f>AVERAGE(ALL_DATA!W65:W67)</f>
        <v>33.516301161878424</v>
      </c>
      <c r="W23" s="142">
        <f>AVERAGE(ALL_DATA!X65:X67)</f>
        <v>6553.29</v>
      </c>
      <c r="X23" s="142">
        <f>AVERAGE(ALL_DATA!Y65:Y67)</f>
        <v>20.060000000000002</v>
      </c>
      <c r="Y23" s="142">
        <f>AVERAGE(ALL_DATA!Z65:Z67)</f>
        <v>0.21666666666666667</v>
      </c>
      <c r="Z23" s="142">
        <f>AVERAGE(ALL_DATA!AA65:AA67)</f>
        <v>10.063333333333333</v>
      </c>
      <c r="AA23" s="142">
        <f>AVERAGE(ALL_DATA!AB65:AB67)</f>
        <v>30.156666666666666</v>
      </c>
      <c r="AB23" s="142">
        <f>AVERAGE(ALL_DATA!AC65:AC67)</f>
        <v>17.419999999999998</v>
      </c>
      <c r="AC23" s="142">
        <f>AVERAGE(ALL_DATA!AD65:AD67)</f>
        <v>27159.710000000003</v>
      </c>
      <c r="AD23" s="142">
        <f>AVERAGE(ALL_DATA!AE65:AE67)</f>
        <v>495.57666666666665</v>
      </c>
      <c r="AE23" s="142">
        <f>AVERAGE(ALL_DATA!AF65:AF67)</f>
        <v>20.53</v>
      </c>
      <c r="AF23" s="142">
        <f>AVERAGE(ALL_DATA!AG65:AG67)</f>
        <v>20.716666666666665</v>
      </c>
      <c r="AG23" s="142" t="s">
        <v>182</v>
      </c>
      <c r="AH23" s="142">
        <f>AVERAGE(ALL_DATA!AI65:AI67)</f>
        <v>39.76</v>
      </c>
      <c r="AI23" s="142">
        <f>AVERAGE(ALL_DATA!AJ65:AJ67)</f>
        <v>115.24333333333334</v>
      </c>
      <c r="AJ23" s="142">
        <f>AVERAGE(ALL_DATA!AK65:AK67)</f>
        <v>0.12333333333333334</v>
      </c>
      <c r="AK23" s="142">
        <f>AVERAGE(ALL_DATA!AL65:AL67)</f>
        <v>0.21999999999999997</v>
      </c>
      <c r="AL23" s="142">
        <f>AVERAGE(ALL_DATA!AM65:AM67)</f>
        <v>0.90133333333333321</v>
      </c>
      <c r="AM23" s="142">
        <f>AVERAGE(ALL_DATA!AN65:AN67)</f>
        <v>4.6413333333333329</v>
      </c>
      <c r="AN23" s="142">
        <f>AVERAGE(ALL_DATA!AO65:AO67)</f>
        <v>184.60733333333334</v>
      </c>
      <c r="AO23" s="142">
        <f>AVERAGE(ALL_DATA!AP65:AP67)</f>
        <v>57.018666666666661</v>
      </c>
      <c r="AP23" s="142">
        <f>AVERAGE(ALL_DATA!AQ65:AQ67)</f>
        <v>53.739171043919754</v>
      </c>
      <c r="AQ23" s="142" t="s">
        <v>182</v>
      </c>
      <c r="AR23" s="142" t="s">
        <v>182</v>
      </c>
      <c r="AS23" s="142" t="s">
        <v>182</v>
      </c>
      <c r="AT23" s="142" t="s">
        <v>182</v>
      </c>
      <c r="AU23" s="142" t="s">
        <v>182</v>
      </c>
      <c r="AV23" s="142" t="s">
        <v>182</v>
      </c>
      <c r="AW23" s="142" t="s">
        <v>182</v>
      </c>
      <c r="AX23" s="142" t="s">
        <v>182</v>
      </c>
      <c r="AY23" s="142" t="s">
        <v>182</v>
      </c>
      <c r="AZ23" s="142" t="s">
        <v>182</v>
      </c>
      <c r="BA23" s="142" t="s">
        <v>182</v>
      </c>
      <c r="BB23" s="142" t="s">
        <v>182</v>
      </c>
      <c r="BC23" s="142">
        <f>AVERAGE(ALL_DATA!BD65:BD67)</f>
        <v>3.5999999999999997E-2</v>
      </c>
      <c r="BD23" s="142" t="s">
        <v>182</v>
      </c>
      <c r="BE23" s="142">
        <f>AVERAGE(ALL_DATA!BF65:BF67)</f>
        <v>7.3999999999999996E-2</v>
      </c>
      <c r="BF23" s="142" t="s">
        <v>182</v>
      </c>
      <c r="BG23" s="142" t="s">
        <v>182</v>
      </c>
      <c r="BH23" s="142">
        <f>AVERAGE(ALL_DATA!BI65:BI67)</f>
        <v>5.0000000000000001E-3</v>
      </c>
      <c r="BI23" s="142" t="s">
        <v>182</v>
      </c>
      <c r="BJ23" s="142" t="s">
        <v>182</v>
      </c>
      <c r="BK23" s="142" t="s">
        <v>182</v>
      </c>
      <c r="BL23" s="142" t="s">
        <v>182</v>
      </c>
      <c r="BM23" s="142">
        <f>AVERAGE(ALL_DATA!BN65:BN67)</f>
        <v>0.106</v>
      </c>
      <c r="BN23" s="142" t="s">
        <v>182</v>
      </c>
      <c r="BO23" s="142">
        <f>AVERAGE(ALL_DATA!BP65:BP67)</f>
        <v>3.9E-2</v>
      </c>
      <c r="BP23" s="142" t="s">
        <v>182</v>
      </c>
      <c r="BQ23" s="142" t="s">
        <v>182</v>
      </c>
      <c r="BR23" s="142" t="s">
        <v>182</v>
      </c>
      <c r="BS23" s="142" t="s">
        <v>182</v>
      </c>
      <c r="BT23" s="142">
        <f>AVERAGE(ALL_DATA!BU65:BU67)</f>
        <v>0.11</v>
      </c>
      <c r="BU23" s="142" t="s">
        <v>182</v>
      </c>
      <c r="BV23" s="142">
        <f>AVERAGE(ALL_DATA!BW65:BW67)</f>
        <v>9.8000000000000018E-2</v>
      </c>
      <c r="BW23" s="142" t="s">
        <v>182</v>
      </c>
      <c r="BX23" s="142" t="s">
        <v>182</v>
      </c>
      <c r="BY23" s="142" t="s">
        <v>182</v>
      </c>
      <c r="BZ23" s="142">
        <f>AVERAGE(ALL_DATA!CA65:CA67)</f>
        <v>54.735757444432352</v>
      </c>
      <c r="CA23" s="142">
        <f>AVERAGE(ALL_DATA!CB65:CB67)</f>
        <v>1.998</v>
      </c>
      <c r="CB23" s="142">
        <f>AVERAGE(ALL_DATA!CC65:CC67)</f>
        <v>8.0726666666666684</v>
      </c>
      <c r="CC23" s="142">
        <f>AVERAGE(ALL_DATA!CD65:CD67)</f>
        <v>141.94366666666664</v>
      </c>
      <c r="CD23" s="142">
        <f>AVERAGE(ALL_DATA!CE65:CE67)</f>
        <v>8.4009113333333332</v>
      </c>
      <c r="CE23" s="142">
        <f>AVERAGE(ALL_DATA!CF65:CF67)</f>
        <v>76.547904666666682</v>
      </c>
      <c r="CF23" s="142">
        <f>AVERAGE(ALL_DATA!CG65:CG67)</f>
        <v>15.05118433333333</v>
      </c>
    </row>
    <row r="24" spans="1:84" s="142" customFormat="1" ht="15.75" thickBot="1" x14ac:dyDescent="0.3">
      <c r="A24" s="142" t="s">
        <v>205</v>
      </c>
      <c r="B24" s="142" t="s">
        <v>79</v>
      </c>
      <c r="C24" s="142" t="s">
        <v>159</v>
      </c>
      <c r="D24" s="142" t="s">
        <v>83</v>
      </c>
      <c r="E24" s="143" t="s">
        <v>173</v>
      </c>
      <c r="F24" s="143" t="s">
        <v>174</v>
      </c>
      <c r="G24" s="144">
        <v>44413</v>
      </c>
      <c r="H24" s="147" t="s">
        <v>177</v>
      </c>
      <c r="I24" s="142">
        <f>AVERAGE(ALL_DATA!J68:J70)</f>
        <v>21</v>
      </c>
      <c r="J24" s="142">
        <f>AVERAGE(ALL_DATA!K68:K70)</f>
        <v>7.3550000000000004</v>
      </c>
      <c r="K24" s="142">
        <f>AVERAGE(ALL_DATA!L68:L70)</f>
        <v>5.0333333333333332</v>
      </c>
      <c r="L24" s="142">
        <f>AVERAGE(ALL_DATA!M68:M70)</f>
        <v>9.086666666666666</v>
      </c>
      <c r="M24" s="142">
        <f>AVERAGE(ALL_DATA!N68:N70)</f>
        <v>-29.766666666666666</v>
      </c>
      <c r="N24" s="142">
        <f>AVERAGE(ALL_DATA!O68:O70)</f>
        <v>18.333333333333332</v>
      </c>
      <c r="O24" s="142">
        <f>AVERAGE(ALL_DATA!P68:P70)</f>
        <v>1235272928.1767957</v>
      </c>
      <c r="P24" s="142">
        <f>AVERAGE(ALL_DATA!Q68:Q70)</f>
        <v>7.4888888888888898</v>
      </c>
      <c r="Q24" s="142">
        <f>AVERAGE(ALL_DATA!R68:R70)</f>
        <v>3.1111111111111112</v>
      </c>
      <c r="R24" s="142">
        <f>AVERAGE(ALL_DATA!S68:S70)</f>
        <v>0.62222222222222223</v>
      </c>
      <c r="S24" s="142">
        <f>AVERAGE(ALL_DATA!T68:T70)</f>
        <v>13.577777777777778</v>
      </c>
      <c r="T24" s="142">
        <f>AVERAGE(ALL_DATA!U68:U70)</f>
        <v>1.2943224960079693</v>
      </c>
      <c r="U24" s="142">
        <f>AVERAGE(ALL_DATA!V68:V70)</f>
        <v>5.3884160889993753</v>
      </c>
      <c r="V24" s="142">
        <f>AVERAGE(ALL_DATA!W68:W70)</f>
        <v>19.163489722169633</v>
      </c>
      <c r="W24" s="142">
        <f>AVERAGE(ALL_DATA!X68:X70)</f>
        <v>7015.6066666666666</v>
      </c>
      <c r="X24" s="142">
        <f>AVERAGE(ALL_DATA!Y68:Y70)</f>
        <v>30.090000000000003</v>
      </c>
      <c r="Y24" s="142">
        <f>AVERAGE(ALL_DATA!Z68:Z70)</f>
        <v>0.31666666666666665</v>
      </c>
      <c r="Z24" s="142">
        <f>AVERAGE(ALL_DATA!AA68:AA70)</f>
        <v>21.820000000000004</v>
      </c>
      <c r="AA24" s="142">
        <f>AVERAGE(ALL_DATA!AB68:AB70)</f>
        <v>29.45</v>
      </c>
      <c r="AB24" s="142">
        <f>AVERAGE(ALL_DATA!AC68:AC70)</f>
        <v>22.076666666666664</v>
      </c>
      <c r="AC24" s="142">
        <f>AVERAGE(ALL_DATA!AD68:AD70)</f>
        <v>34139</v>
      </c>
      <c r="AD24" s="142">
        <f>AVERAGE(ALL_DATA!AE68:AE70)</f>
        <v>414.17666666666668</v>
      </c>
      <c r="AE24" s="142">
        <f>AVERAGE(ALL_DATA!AF68:AF70)</f>
        <v>33.576666666666661</v>
      </c>
      <c r="AF24" s="142">
        <f>AVERAGE(ALL_DATA!AG68:AG70)</f>
        <v>20.64</v>
      </c>
      <c r="AG24" s="142" t="s">
        <v>182</v>
      </c>
      <c r="AH24" s="142">
        <f>AVERAGE(ALL_DATA!AI68:AI70)</f>
        <v>36.706666666666671</v>
      </c>
      <c r="AI24" s="142">
        <f>AVERAGE(ALL_DATA!AJ68:AJ70)</f>
        <v>136.9</v>
      </c>
      <c r="AJ24" s="142">
        <f>AVERAGE(ALL_DATA!AK68:AK70)</f>
        <v>0.15333333333333332</v>
      </c>
      <c r="AK24" s="142">
        <f>AVERAGE(ALL_DATA!AL68:AL70)</f>
        <v>0</v>
      </c>
      <c r="AL24" s="142">
        <f>AVERAGE(ALL_DATA!AM68:AM70)</f>
        <v>0.8923333333333332</v>
      </c>
      <c r="AM24" s="142">
        <f>AVERAGE(ALL_DATA!AN68:AN70)</f>
        <v>2.9293333333333336</v>
      </c>
      <c r="AN24" s="142">
        <f>AVERAGE(ALL_DATA!AO68:AO70)</f>
        <v>155.16633333333334</v>
      </c>
      <c r="AO24" s="142">
        <f>AVERAGE(ALL_DATA!AP68:AP70)</f>
        <v>85.165333333333322</v>
      </c>
      <c r="AP24" s="142">
        <f>AVERAGE(ALL_DATA!AQ68:AQ70)</f>
        <v>44.448196599456139</v>
      </c>
      <c r="AQ24" s="142" t="s">
        <v>182</v>
      </c>
      <c r="AR24" s="142" t="s">
        <v>182</v>
      </c>
      <c r="AS24" s="142" t="s">
        <v>182</v>
      </c>
      <c r="AT24" s="142" t="s">
        <v>182</v>
      </c>
      <c r="AU24" s="142" t="s">
        <v>182</v>
      </c>
      <c r="AV24" s="142" t="s">
        <v>182</v>
      </c>
      <c r="AW24" s="142" t="s">
        <v>182</v>
      </c>
      <c r="AX24" s="142" t="s">
        <v>182</v>
      </c>
      <c r="AY24" s="142" t="s">
        <v>182</v>
      </c>
      <c r="AZ24" s="142" t="s">
        <v>182</v>
      </c>
      <c r="BA24" s="142" t="s">
        <v>182</v>
      </c>
      <c r="BB24" s="142" t="s">
        <v>182</v>
      </c>
      <c r="BC24" s="142">
        <f>AVERAGE(ALL_DATA!BD68:BD70)</f>
        <v>4.6000000000000006E-2</v>
      </c>
      <c r="BD24" s="142" t="s">
        <v>182</v>
      </c>
      <c r="BE24" s="142">
        <f>AVERAGE(ALL_DATA!BF68:BF70)</f>
        <v>8.6000000000000007E-2</v>
      </c>
      <c r="BF24" s="142" t="s">
        <v>182</v>
      </c>
      <c r="BG24" s="142" t="s">
        <v>182</v>
      </c>
      <c r="BH24" s="142">
        <f>AVERAGE(ALL_DATA!BI68:BI70)</f>
        <v>4.0000000000000001E-3</v>
      </c>
      <c r="BI24" s="142" t="s">
        <v>182</v>
      </c>
      <c r="BJ24" s="142" t="s">
        <v>182</v>
      </c>
      <c r="BK24" s="142" t="s">
        <v>182</v>
      </c>
      <c r="BL24" s="142" t="s">
        <v>182</v>
      </c>
      <c r="BM24" s="142">
        <f>AVERAGE(ALL_DATA!BN68:BN70)</f>
        <v>0.14099999999999999</v>
      </c>
      <c r="BN24" s="142" t="s">
        <v>182</v>
      </c>
      <c r="BO24" s="142">
        <f>AVERAGE(ALL_DATA!BP68:BP70)</f>
        <v>2.8000000000000001E-2</v>
      </c>
      <c r="BP24" s="142" t="s">
        <v>182</v>
      </c>
      <c r="BQ24" s="142" t="s">
        <v>182</v>
      </c>
      <c r="BR24" s="142" t="s">
        <v>182</v>
      </c>
      <c r="BS24" s="142" t="s">
        <v>182</v>
      </c>
      <c r="BT24" s="142">
        <f>AVERAGE(ALL_DATA!BU68:BU70)</f>
        <v>0.08</v>
      </c>
      <c r="BU24" s="142" t="s">
        <v>182</v>
      </c>
      <c r="BV24" s="142">
        <f>AVERAGE(ALL_DATA!BW68:BW70)</f>
        <v>0.112</v>
      </c>
      <c r="BW24" s="142" t="s">
        <v>182</v>
      </c>
      <c r="BX24" s="142" t="s">
        <v>182</v>
      </c>
      <c r="BY24" s="142">
        <f>AVERAGE(ALL_DATA!BZ68:BZ70)</f>
        <v>4.5000000000000005E-2</v>
      </c>
      <c r="BZ24" s="142">
        <f>AVERAGE(ALL_DATA!CA68:CA70)</f>
        <v>50.031716711319056</v>
      </c>
      <c r="CA24" s="142">
        <f>AVERAGE(ALL_DATA!CB68:CB70)</f>
        <v>1.6683333333333332</v>
      </c>
      <c r="CB24" s="142">
        <f>AVERAGE(ALL_DATA!CC68:CC70)</f>
        <v>7.2909999999999995</v>
      </c>
      <c r="CC24" s="142">
        <f>AVERAGE(ALL_DATA!CD68:CD70)</f>
        <v>62.028666666666673</v>
      </c>
      <c r="CD24" s="142">
        <f>AVERAGE(ALL_DATA!CE68:CE70)</f>
        <v>11.380559666666665</v>
      </c>
      <c r="CE24" s="142">
        <f>AVERAGE(ALL_DATA!CF68:CF70)</f>
        <v>77.710436999999999</v>
      </c>
      <c r="CF24" s="142">
        <f>AVERAGE(ALL_DATA!CG68:CG70)</f>
        <v>10.909002000000001</v>
      </c>
    </row>
    <row r="25" spans="1:84" s="142" customFormat="1" ht="15.75" thickBot="1" x14ac:dyDescent="0.3">
      <c r="A25" s="142" t="s">
        <v>206</v>
      </c>
      <c r="B25" s="142" t="s">
        <v>80</v>
      </c>
      <c r="C25" s="142" t="s">
        <v>159</v>
      </c>
      <c r="D25" s="142" t="s">
        <v>82</v>
      </c>
      <c r="E25" s="143" t="s">
        <v>175</v>
      </c>
      <c r="F25" s="143" t="s">
        <v>176</v>
      </c>
      <c r="G25" s="144">
        <v>44412</v>
      </c>
      <c r="H25" s="224">
        <v>0.42083333333333334</v>
      </c>
      <c r="I25" s="142">
        <f>AVERAGE(ALL_DATA!J71:J73)</f>
        <v>19.399999999999999</v>
      </c>
      <c r="J25" s="142">
        <f>AVERAGE(ALL_DATA!K71:K73)</f>
        <v>7.0236666666666663</v>
      </c>
      <c r="K25" s="142">
        <f>AVERAGE(ALL_DATA!L71:L73)</f>
        <v>0.3666666666666667</v>
      </c>
      <c r="L25" s="142">
        <f>AVERAGE(ALL_DATA!M71:M73)</f>
        <v>0.85699999999999987</v>
      </c>
      <c r="M25" s="142">
        <f>AVERAGE(ALL_DATA!N71:N73)</f>
        <v>-18.2</v>
      </c>
      <c r="N25" s="142">
        <f>AVERAGE(ALL_DATA!O71:O73)</f>
        <v>21.666666666666668</v>
      </c>
      <c r="O25" s="142">
        <f>AVERAGE(ALL_DATA!P71:P73)</f>
        <v>2175821413.2762313</v>
      </c>
      <c r="P25" s="142">
        <f>AVERAGE(ALL_DATA!Q71:Q73)</f>
        <v>16.8</v>
      </c>
      <c r="Q25" s="142">
        <f>AVERAGE(ALL_DATA!R71:R73)</f>
        <v>0.51111111111111118</v>
      </c>
      <c r="R25" s="142">
        <f>AVERAGE(ALL_DATA!S71:S73)</f>
        <v>3.2000000000000006</v>
      </c>
      <c r="S25" s="142">
        <f>AVERAGE(ALL_DATA!T71:T73)</f>
        <v>21.259259259259263</v>
      </c>
      <c r="T25" s="142">
        <f>AVERAGE(ALL_DATA!U71:U73)</f>
        <v>14.139779668777967</v>
      </c>
      <c r="U25" s="142">
        <f>AVERAGE(ALL_DATA!V71:V73)</f>
        <v>31.032694418231063</v>
      </c>
      <c r="V25" s="142">
        <f>AVERAGE(ALL_DATA!W71:W73)</f>
        <v>31.272560360789239</v>
      </c>
      <c r="W25" s="142">
        <f>AVERAGE(ALL_DATA!X71:X73)</f>
        <v>6750.1699999999992</v>
      </c>
      <c r="X25" s="142">
        <f>AVERAGE(ALL_DATA!Y71:Y73)</f>
        <v>11.066666666666668</v>
      </c>
      <c r="Y25" s="142">
        <f>AVERAGE(ALL_DATA!Z71:Z73)</f>
        <v>9.6666666666666679E-2</v>
      </c>
      <c r="Z25" s="142">
        <f>AVERAGE(ALL_DATA!AA71:AA73)</f>
        <v>9.4366666666666656</v>
      </c>
      <c r="AA25" s="142">
        <f>AVERAGE(ALL_DATA!AB71:AB73)</f>
        <v>28.046666666666667</v>
      </c>
      <c r="AB25" s="142">
        <f>AVERAGE(ALL_DATA!AC71:AC73)</f>
        <v>10.573333333333334</v>
      </c>
      <c r="AC25" s="142">
        <f>AVERAGE(ALL_DATA!AD71:AD73)</f>
        <v>24608.833333333332</v>
      </c>
      <c r="AD25" s="142">
        <f>AVERAGE(ALL_DATA!AE71:AE73)</f>
        <v>404.83333333333331</v>
      </c>
      <c r="AE25" s="142">
        <f>AVERAGE(ALL_DATA!AF71:AF73)</f>
        <v>21.956666666666667</v>
      </c>
      <c r="AF25" s="142">
        <f>AVERAGE(ALL_DATA!AG71:AG73)</f>
        <v>19.86</v>
      </c>
      <c r="AG25" s="142" t="s">
        <v>182</v>
      </c>
      <c r="AH25" s="142">
        <f>AVERAGE(ALL_DATA!AI71:AI73)</f>
        <v>31.820000000000004</v>
      </c>
      <c r="AI25" s="142">
        <f>AVERAGE(ALL_DATA!AJ71:AJ73)</f>
        <v>83.083333333333329</v>
      </c>
      <c r="AJ25" s="142">
        <f>AVERAGE(ALL_DATA!AK71:AK73)</f>
        <v>7.0000000000000007E-2</v>
      </c>
      <c r="AK25" s="142">
        <f>AVERAGE(ALL_DATA!AL71:AL73)</f>
        <v>0</v>
      </c>
      <c r="AL25" s="142">
        <f>AVERAGE(ALL_DATA!AM71:AM73)</f>
        <v>0.24033333333333332</v>
      </c>
      <c r="AM25" s="142">
        <f>AVERAGE(ALL_DATA!AN71:AN73)</f>
        <v>0.83233333333333326</v>
      </c>
      <c r="AN25" s="142">
        <f>AVERAGE(ALL_DATA!AO71:AO73)</f>
        <v>446.68466666666671</v>
      </c>
      <c r="AO25" s="142">
        <f>AVERAGE(ALL_DATA!AP71:AP73)</f>
        <v>82.209333333333333</v>
      </c>
      <c r="AP25" s="142">
        <f>AVERAGE(ALL_DATA!AQ71:AQ73)</f>
        <v>50.295882596472246</v>
      </c>
      <c r="AQ25" s="142" t="s">
        <v>182</v>
      </c>
      <c r="AR25" s="142" t="s">
        <v>182</v>
      </c>
      <c r="AS25" s="142" t="s">
        <v>182</v>
      </c>
      <c r="AT25" s="142" t="s">
        <v>182</v>
      </c>
      <c r="AU25" s="142" t="s">
        <v>182</v>
      </c>
      <c r="AV25" s="142" t="s">
        <v>182</v>
      </c>
      <c r="AW25" s="142" t="s">
        <v>182</v>
      </c>
      <c r="AX25" s="142" t="s">
        <v>182</v>
      </c>
      <c r="AY25" s="142" t="s">
        <v>182</v>
      </c>
      <c r="AZ25" s="142" t="s">
        <v>182</v>
      </c>
      <c r="BA25" s="142" t="s">
        <v>182</v>
      </c>
      <c r="BB25" s="142" t="s">
        <v>182</v>
      </c>
      <c r="BC25" s="142" t="s">
        <v>182</v>
      </c>
      <c r="BD25" s="142" t="s">
        <v>182</v>
      </c>
      <c r="BE25" s="142" t="s">
        <v>182</v>
      </c>
      <c r="BF25" s="142" t="s">
        <v>182</v>
      </c>
      <c r="BG25" s="142" t="s">
        <v>182</v>
      </c>
      <c r="BH25" s="142" t="s">
        <v>182</v>
      </c>
      <c r="BI25" s="142" t="s">
        <v>182</v>
      </c>
      <c r="BJ25" s="142" t="s">
        <v>182</v>
      </c>
      <c r="BK25" s="142" t="s">
        <v>182</v>
      </c>
      <c r="BL25" s="142" t="s">
        <v>182</v>
      </c>
      <c r="BM25" s="142">
        <f>AVERAGE(ALL_DATA!BN71:BN73)</f>
        <v>2.4000000000000004E-2</v>
      </c>
      <c r="BN25" s="142" t="s">
        <v>182</v>
      </c>
      <c r="BO25" s="142" t="s">
        <v>182</v>
      </c>
      <c r="BP25" s="142" t="s">
        <v>182</v>
      </c>
      <c r="BQ25" s="142" t="s">
        <v>182</v>
      </c>
      <c r="BR25" s="142" t="s">
        <v>182</v>
      </c>
      <c r="BS25" s="142" t="s">
        <v>182</v>
      </c>
      <c r="BT25" s="142" t="s">
        <v>182</v>
      </c>
      <c r="BU25" s="142" t="s">
        <v>182</v>
      </c>
      <c r="BV25" s="142" t="s">
        <v>182</v>
      </c>
      <c r="BW25" s="142" t="s">
        <v>182</v>
      </c>
      <c r="BX25" s="142" t="s">
        <v>182</v>
      </c>
      <c r="BY25" s="142" t="s">
        <v>182</v>
      </c>
      <c r="BZ25" s="142">
        <f>AVERAGE(ALL_DATA!CA71:CA73)</f>
        <v>63.699301076994971</v>
      </c>
      <c r="CA25" s="142">
        <f>AVERAGE(ALL_DATA!CB71:CB73)</f>
        <v>1.9910000000000003</v>
      </c>
      <c r="CB25" s="142">
        <f>AVERAGE(ALL_DATA!CC71:CC73)</f>
        <v>8.1560000000000006</v>
      </c>
      <c r="CC25" s="142">
        <f>AVERAGE(ALL_DATA!CD71:CD73)</f>
        <v>39.198333333333331</v>
      </c>
      <c r="CD25" s="142">
        <f>AVERAGE(ALL_DATA!CE71:CE73)</f>
        <v>8.3874780000000015</v>
      </c>
      <c r="CE25" s="142">
        <f>AVERAGE(ALL_DATA!CF71:CF73)</f>
        <v>83.589843333333334</v>
      </c>
      <c r="CF25" s="142">
        <f>AVERAGE(ALL_DATA!CG71:CG73)</f>
        <v>8.0226783333333334</v>
      </c>
    </row>
    <row r="26" spans="1:84" s="227" customFormat="1" ht="15.75" thickBot="1" x14ac:dyDescent="0.3">
      <c r="A26" s="227" t="s">
        <v>207</v>
      </c>
      <c r="B26" s="227" t="s">
        <v>64</v>
      </c>
      <c r="C26" s="227" t="s">
        <v>160</v>
      </c>
      <c r="D26" s="227" t="s">
        <v>82</v>
      </c>
      <c r="E26" s="228" t="s">
        <v>161</v>
      </c>
      <c r="F26" s="228" t="s">
        <v>162</v>
      </c>
      <c r="G26" s="229">
        <v>44540</v>
      </c>
      <c r="H26" s="230">
        <v>0.46527777777777773</v>
      </c>
      <c r="I26" s="227">
        <f>AVERAGE(ALL_DATA!J74:J76)</f>
        <v>7.833333333333333</v>
      </c>
      <c r="J26" s="227">
        <f>AVERAGE(ALL_DATA!K74:K76)</f>
        <v>7.5100000000000007</v>
      </c>
      <c r="K26" s="227">
        <f>AVERAGE(ALL_DATA!L74:L76)</f>
        <v>0.56666666666666676</v>
      </c>
      <c r="L26" s="227">
        <f>AVERAGE(ALL_DATA!M74:M76)</f>
        <v>0.12166666666666666</v>
      </c>
      <c r="M26" s="227">
        <f>AVERAGE(ALL_DATA!N74:N76)</f>
        <v>-25.545349999999985</v>
      </c>
      <c r="N26" s="227">
        <f>AVERAGE(ALL_DATA!O74:O76)</f>
        <v>10.066666666666668</v>
      </c>
      <c r="O26" s="227">
        <f>AVERAGE(ALL_DATA!P74:P76)</f>
        <v>1357823728.8135593</v>
      </c>
      <c r="P26" s="227">
        <f>AVERAGE(ALL_DATA!Q74:Q76)</f>
        <v>4.4777777777777779</v>
      </c>
      <c r="Q26" s="227">
        <f>AVERAGE(ALL_DATA!R74:R76)</f>
        <v>0.96666666666666667</v>
      </c>
      <c r="R26" s="227">
        <f>AVERAGE(ALL_DATA!S74:S76)</f>
        <v>2.088888888888889</v>
      </c>
      <c r="S26" s="227">
        <f>AVERAGE(ALL_DATA!T74:T76)</f>
        <v>8.2629629629629626</v>
      </c>
      <c r="T26" s="227">
        <f>AVERAGE(ALL_DATA!U74:U76)</f>
        <v>6.7988603026845142</v>
      </c>
      <c r="U26" s="227">
        <f>AVERAGE(ALL_DATA!V74:V76)</f>
        <v>21.804692211832347</v>
      </c>
      <c r="V26" s="227">
        <f>AVERAGE(ALL_DATA!W74:W76)</f>
        <v>23.450505184666032</v>
      </c>
      <c r="W26" s="227">
        <f>AVERAGE(ALL_DATA!X74:X76)</f>
        <v>6507.7300000000005</v>
      </c>
      <c r="X26" s="227">
        <f>AVERAGE(ALL_DATA!Y74:Y76)</f>
        <v>9.5766666666666662</v>
      </c>
      <c r="Y26" s="227">
        <f>AVERAGE(ALL_DATA!Z74:Z76)</f>
        <v>0.08</v>
      </c>
      <c r="Z26" s="227">
        <f>AVERAGE(ALL_DATA!AA74:AA76)</f>
        <v>6.7433333333333332</v>
      </c>
      <c r="AA26" s="227">
        <f>AVERAGE(ALL_DATA!AB74:AB76)</f>
        <v>21.886666666666667</v>
      </c>
      <c r="AB26" s="227">
        <f>AVERAGE(ALL_DATA!AC74:AC76)</f>
        <v>11.803333333333333</v>
      </c>
      <c r="AC26" s="227">
        <f>AVERAGE(ALL_DATA!AD74:AD76)</f>
        <v>20102.23</v>
      </c>
      <c r="AD26" s="227">
        <f>AVERAGE(ALL_DATA!AE74:AE76)</f>
        <v>371.86666666666662</v>
      </c>
      <c r="AE26" s="227">
        <f>AVERAGE(ALL_DATA!AF74:AF76)</f>
        <v>16.75</v>
      </c>
      <c r="AF26" s="227">
        <f>AVERAGE(ALL_DATA!AG74:AG76)</f>
        <v>16.810000000000002</v>
      </c>
      <c r="AG26" s="227" t="s">
        <v>182</v>
      </c>
      <c r="AH26" s="227">
        <f>AVERAGE(ALL_DATA!AI74:AI76)</f>
        <v>29.136666666666667</v>
      </c>
      <c r="AI26" s="227">
        <f>AVERAGE(ALL_DATA!AJ74:AJ76)</f>
        <v>70.606666666666669</v>
      </c>
      <c r="AJ26" s="227">
        <f>AVERAGE(ALL_DATA!AK74:AK76)</f>
        <v>5.3333333333333337E-2</v>
      </c>
      <c r="AK26" s="227">
        <f>AVERAGE(ALL_DATA!AL74:AL76)</f>
        <v>0</v>
      </c>
      <c r="AL26" s="227">
        <f>AVERAGE(ALL_DATA!AM74:AM76)</f>
        <v>0.33</v>
      </c>
      <c r="AM26" s="227">
        <f>AVERAGE(ALL_DATA!AN74:AN76)</f>
        <v>0.64666666666666661</v>
      </c>
      <c r="AN26" s="227">
        <f>AVERAGE(ALL_DATA!AO74:AO76)</f>
        <v>399.53999999999996</v>
      </c>
      <c r="AO26" s="227">
        <f>AVERAGE(ALL_DATA!AP74:AP76)</f>
        <v>98.616666666666674</v>
      </c>
      <c r="AP26" s="227">
        <f>AVERAGE(ALL_DATA!AQ74:AQ76)</f>
        <v>49.57843130385718</v>
      </c>
      <c r="AQ26" s="227" t="s">
        <v>182</v>
      </c>
      <c r="AR26" s="227" t="s">
        <v>182</v>
      </c>
      <c r="AS26" s="227" t="s">
        <v>182</v>
      </c>
      <c r="AT26" s="227" t="s">
        <v>182</v>
      </c>
      <c r="AU26" s="227" t="s">
        <v>182</v>
      </c>
      <c r="AV26" s="227" t="s">
        <v>182</v>
      </c>
      <c r="AW26" s="227" t="s">
        <v>182</v>
      </c>
      <c r="AX26" s="227" t="s">
        <v>182</v>
      </c>
      <c r="AY26" s="227" t="s">
        <v>182</v>
      </c>
      <c r="AZ26" s="227" t="s">
        <v>182</v>
      </c>
      <c r="BA26" s="227" t="s">
        <v>182</v>
      </c>
      <c r="BB26" s="227" t="s">
        <v>182</v>
      </c>
      <c r="BC26" s="227" t="s">
        <v>182</v>
      </c>
      <c r="BD26" s="227" t="s">
        <v>182</v>
      </c>
      <c r="BE26" s="227" t="s">
        <v>182</v>
      </c>
      <c r="BF26" s="227" t="s">
        <v>182</v>
      </c>
      <c r="BG26" s="227" t="s">
        <v>182</v>
      </c>
      <c r="BH26" s="227" t="s">
        <v>182</v>
      </c>
      <c r="BI26" s="227" t="s">
        <v>182</v>
      </c>
      <c r="BJ26" s="227" t="s">
        <v>182</v>
      </c>
      <c r="BK26" s="227" t="s">
        <v>182</v>
      </c>
      <c r="BL26" s="227" t="s">
        <v>182</v>
      </c>
      <c r="BM26" s="227" t="s">
        <v>182</v>
      </c>
      <c r="BN26" s="227" t="s">
        <v>182</v>
      </c>
      <c r="BO26" s="227" t="s">
        <v>182</v>
      </c>
      <c r="BP26" s="227" t="s">
        <v>182</v>
      </c>
      <c r="BQ26" s="227" t="s">
        <v>182</v>
      </c>
      <c r="BR26" s="227" t="s">
        <v>182</v>
      </c>
      <c r="BS26" s="227" t="s">
        <v>182</v>
      </c>
      <c r="BT26" s="227" t="s">
        <v>182</v>
      </c>
      <c r="BU26" s="227" t="s">
        <v>182</v>
      </c>
      <c r="BV26" s="227" t="s">
        <v>182</v>
      </c>
      <c r="BW26" s="227" t="s">
        <v>182</v>
      </c>
      <c r="BX26" s="227" t="s">
        <v>182</v>
      </c>
      <c r="BY26" s="227">
        <f>AVERAGE(ALL_DATA!BZ74:BZ76)</f>
        <v>2.5999999999999999E-2</v>
      </c>
      <c r="BZ26" s="227">
        <f>AVERAGE(ALL_DATA!CA74:CA76)</f>
        <v>57.745084755367309</v>
      </c>
      <c r="CA26" s="227">
        <f>AVERAGE(ALL_DATA!CB74:CB76)</f>
        <v>2.4676666666666667</v>
      </c>
      <c r="CB26" s="227">
        <f>AVERAGE(ALL_DATA!CC74:CC76)</f>
        <v>43.617333333333335</v>
      </c>
      <c r="CC26" s="227">
        <f>AVERAGE(ALL_DATA!CD74:CD76)</f>
        <v>408.32499999999999</v>
      </c>
      <c r="CD26" s="227">
        <f>AVERAGE(ALL_DATA!CE74:CE76)</f>
        <v>7.3129483333333338</v>
      </c>
      <c r="CE26" s="227">
        <f>AVERAGE(ALL_DATA!CF74:CF76)</f>
        <v>63.345387999999993</v>
      </c>
      <c r="CF26" s="227">
        <f>AVERAGE(ALL_DATA!CG74:CG76)</f>
        <v>29.341664666666663</v>
      </c>
    </row>
    <row r="27" spans="1:84" s="227" customFormat="1" ht="15.75" thickBot="1" x14ac:dyDescent="0.3">
      <c r="A27" s="227" t="s">
        <v>208</v>
      </c>
      <c r="B27" s="227" t="s">
        <v>74</v>
      </c>
      <c r="C27" s="227" t="s">
        <v>160</v>
      </c>
      <c r="D27" s="227" t="s">
        <v>83</v>
      </c>
      <c r="E27" s="228" t="s">
        <v>163</v>
      </c>
      <c r="F27" s="228" t="s">
        <v>164</v>
      </c>
      <c r="G27" s="229">
        <v>44543</v>
      </c>
      <c r="H27" s="230">
        <v>0.45277777777777778</v>
      </c>
      <c r="I27" s="227">
        <f>AVERAGE(ALL_DATA!J77:J79)</f>
        <v>8.4666666666666668</v>
      </c>
      <c r="J27" s="227">
        <f>AVERAGE(ALL_DATA!K77:K79)</f>
        <v>7.3266666666666671</v>
      </c>
      <c r="K27" s="227">
        <f>AVERAGE(ALL_DATA!L77:L79)</f>
        <v>2.5</v>
      </c>
      <c r="L27" s="227">
        <f>AVERAGE(ALL_DATA!M77:M79)</f>
        <v>4.72</v>
      </c>
      <c r="M27" s="227">
        <f>AVERAGE(ALL_DATA!N77:N79)</f>
        <v>-15.318099999999996</v>
      </c>
      <c r="N27" s="227">
        <f>AVERAGE(ALL_DATA!O77:O79)</f>
        <v>14.333333333333334</v>
      </c>
      <c r="O27" s="227">
        <f>AVERAGE(ALL_DATA!P77:P79)</f>
        <v>1186849519.1086271</v>
      </c>
      <c r="P27" s="227">
        <f>AVERAGE(ALL_DATA!Q77:Q79)</f>
        <v>1.377777777777778</v>
      </c>
      <c r="Q27" s="227">
        <f>AVERAGE(ALL_DATA!R77:R79)</f>
        <v>16.844444444444445</v>
      </c>
      <c r="R27" s="227">
        <f>AVERAGE(ALL_DATA!S77:S79)</f>
        <v>3.6</v>
      </c>
      <c r="S27" s="227">
        <f>AVERAGE(ALL_DATA!T77:T79)</f>
        <v>22.829629629629625</v>
      </c>
      <c r="T27" s="227">
        <f>AVERAGE(ALL_DATA!U77:U79)</f>
        <v>13.753348848193378</v>
      </c>
      <c r="U27" s="227">
        <f>AVERAGE(ALL_DATA!V77:V79)</f>
        <v>47.307877102601786</v>
      </c>
      <c r="V27" s="227">
        <f>AVERAGE(ALL_DATA!W77:W79)</f>
        <v>22.466143436538673</v>
      </c>
      <c r="W27" s="227">
        <f>AVERAGE(ALL_DATA!X77:X79)</f>
        <v>7135.94</v>
      </c>
      <c r="X27" s="227">
        <f>AVERAGE(ALL_DATA!Y77:Y79)</f>
        <v>19</v>
      </c>
      <c r="Y27" s="227">
        <f>AVERAGE(ALL_DATA!Z77:Z79)</f>
        <v>0.11</v>
      </c>
      <c r="Z27" s="227">
        <f>AVERAGE(ALL_DATA!AA77:AA79)</f>
        <v>10.293333333333333</v>
      </c>
      <c r="AA27" s="227">
        <f>AVERAGE(ALL_DATA!AB77:AB79)</f>
        <v>29.38</v>
      </c>
      <c r="AB27" s="227">
        <f>AVERAGE(ALL_DATA!AC77:AC79)</f>
        <v>14.156666666666666</v>
      </c>
      <c r="AC27" s="227">
        <f>AVERAGE(ALL_DATA!AD77:AD79)</f>
        <v>27622.86</v>
      </c>
      <c r="AD27" s="227">
        <f>AVERAGE(ALL_DATA!AE77:AE79)</f>
        <v>592.78666666666675</v>
      </c>
      <c r="AE27" s="227">
        <f>AVERAGE(ALL_DATA!AF77:AF79)</f>
        <v>23.213333333333335</v>
      </c>
      <c r="AF27" s="227">
        <f>AVERAGE(ALL_DATA!AG77:AG79)</f>
        <v>19.793333333333337</v>
      </c>
      <c r="AG27" s="227" t="s">
        <v>182</v>
      </c>
      <c r="AH27" s="227">
        <f>AVERAGE(ALL_DATA!AI77:AI79)</f>
        <v>43.326666666666675</v>
      </c>
      <c r="AI27" s="227">
        <f>AVERAGE(ALL_DATA!AJ77:AJ79)</f>
        <v>93.426666666666662</v>
      </c>
      <c r="AJ27" s="227">
        <f>AVERAGE(ALL_DATA!AK77:AK79)</f>
        <v>7.6666666666666675E-2</v>
      </c>
      <c r="AK27" s="227">
        <f>AVERAGE(ALL_DATA!AL77:AL79)</f>
        <v>0.17333333333333334</v>
      </c>
      <c r="AL27" s="227">
        <f>AVERAGE(ALL_DATA!AM77:AM79)</f>
        <v>0.18000000000000002</v>
      </c>
      <c r="AM27" s="227">
        <f>AVERAGE(ALL_DATA!AN77:AN79)</f>
        <v>1.4333333333333333</v>
      </c>
      <c r="AN27" s="227">
        <f>AVERAGE(ALL_DATA!AO77:AO79)</f>
        <v>425.67666666666668</v>
      </c>
      <c r="AO27" s="227">
        <f>AVERAGE(ALL_DATA!AP77:AP79)</f>
        <v>145.97333333333333</v>
      </c>
      <c r="AP27" s="227" t="e">
        <f>AVERAGE(ALL_DATA!AQ77:AQ79)</f>
        <v>#DIV/0!</v>
      </c>
      <c r="AQ27" s="227" t="s">
        <v>182</v>
      </c>
      <c r="AR27" s="227" t="s">
        <v>182</v>
      </c>
      <c r="AS27" s="227" t="s">
        <v>182</v>
      </c>
      <c r="AT27" s="227" t="s">
        <v>182</v>
      </c>
      <c r="AU27" s="227" t="s">
        <v>182</v>
      </c>
      <c r="AV27" s="227" t="s">
        <v>182</v>
      </c>
      <c r="AW27" s="227" t="s">
        <v>182</v>
      </c>
      <c r="AX27" s="227" t="s">
        <v>182</v>
      </c>
      <c r="AY27" s="227" t="s">
        <v>182</v>
      </c>
      <c r="AZ27" s="227" t="s">
        <v>182</v>
      </c>
      <c r="BA27" s="227" t="s">
        <v>182</v>
      </c>
      <c r="BB27" s="227" t="s">
        <v>182</v>
      </c>
      <c r="BC27" s="227" t="s">
        <v>182</v>
      </c>
      <c r="BD27" s="227" t="s">
        <v>182</v>
      </c>
      <c r="BE27" s="227" t="s">
        <v>182</v>
      </c>
      <c r="BF27" s="227" t="s">
        <v>182</v>
      </c>
      <c r="BG27" s="227" t="s">
        <v>182</v>
      </c>
      <c r="BH27" s="227" t="s">
        <v>182</v>
      </c>
      <c r="BI27" s="227" t="s">
        <v>182</v>
      </c>
      <c r="BJ27" s="227" t="s">
        <v>182</v>
      </c>
      <c r="BK27" s="227" t="s">
        <v>182</v>
      </c>
      <c r="BL27" s="227" t="s">
        <v>182</v>
      </c>
      <c r="BM27" s="227">
        <f>AVERAGE(ALL_DATA!BN77:BN79)</f>
        <v>3.3000000000000002E-2</v>
      </c>
      <c r="BN27" s="227" t="s">
        <v>182</v>
      </c>
      <c r="BO27" s="227" t="s">
        <v>182</v>
      </c>
      <c r="BP27" s="227" t="s">
        <v>182</v>
      </c>
      <c r="BQ27" s="227" t="s">
        <v>182</v>
      </c>
      <c r="BR27" s="227" t="s">
        <v>182</v>
      </c>
      <c r="BS27" s="227" t="s">
        <v>182</v>
      </c>
      <c r="BT27" s="227" t="s">
        <v>182</v>
      </c>
      <c r="BU27" s="227" t="s">
        <v>182</v>
      </c>
      <c r="BV27" s="227" t="s">
        <v>182</v>
      </c>
      <c r="BW27" s="227" t="s">
        <v>182</v>
      </c>
      <c r="BX27" s="227" t="s">
        <v>182</v>
      </c>
      <c r="BY27" s="227" t="s">
        <v>182</v>
      </c>
      <c r="BZ27" s="227">
        <f>AVERAGE(ALL_DATA!CA77:CA79)</f>
        <v>64.114959922545253</v>
      </c>
      <c r="CA27" s="227">
        <f>AVERAGE(ALL_DATA!CB77:CB79)</f>
        <v>1.9613333333333334</v>
      </c>
      <c r="CB27" s="227">
        <f>AVERAGE(ALL_DATA!CC77:CC79)</f>
        <v>8.5123333333333324</v>
      </c>
      <c r="CC27" s="227">
        <f>AVERAGE(ALL_DATA!CD77:CD79)</f>
        <v>58.615333333333332</v>
      </c>
      <c r="CD27" s="227">
        <f>AVERAGE(ALL_DATA!CE77:CE79)</f>
        <v>8.6726466666666671</v>
      </c>
      <c r="CE27" s="227">
        <f>AVERAGE(ALL_DATA!CF77:CF79)</f>
        <v>79.804508333333331</v>
      </c>
      <c r="CF27" s="227">
        <f>AVERAGE(ALL_DATA!CG77:CG79)</f>
        <v>11.522844666666664</v>
      </c>
    </row>
    <row r="28" spans="1:84" s="227" customFormat="1" ht="15.75" thickBot="1" x14ac:dyDescent="0.3">
      <c r="A28" s="227" t="s">
        <v>209</v>
      </c>
      <c r="B28" s="227" t="s">
        <v>75</v>
      </c>
      <c r="C28" s="227" t="s">
        <v>160</v>
      </c>
      <c r="D28" s="227" t="s">
        <v>84</v>
      </c>
      <c r="E28" s="228" t="s">
        <v>165</v>
      </c>
      <c r="F28" s="228" t="s">
        <v>166</v>
      </c>
      <c r="G28" s="229">
        <v>44536</v>
      </c>
      <c r="H28" s="230">
        <v>0.4236111111111111</v>
      </c>
      <c r="I28" s="227">
        <f>AVERAGE(ALL_DATA!J80:J82)</f>
        <v>8.4333333333333336</v>
      </c>
      <c r="J28" s="227">
        <f>AVERAGE(ALL_DATA!K80:K82)</f>
        <v>7.6066666666666665</v>
      </c>
      <c r="K28" s="227">
        <f>AVERAGE(ALL_DATA!L80:L82)</f>
        <v>33.766666666666673</v>
      </c>
      <c r="L28" s="227">
        <f>AVERAGE(ALL_DATA!M80:M82)</f>
        <v>52.133333333333333</v>
      </c>
      <c r="M28" s="227">
        <f>AVERAGE(ALL_DATA!N80:N82)</f>
        <v>-30.937899999999996</v>
      </c>
      <c r="N28" s="227">
        <f>AVERAGE(ALL_DATA!O80:O82)</f>
        <v>8.3000000000000007</v>
      </c>
      <c r="O28" s="227">
        <f>AVERAGE(ALL_DATA!P80:P82)</f>
        <v>6784936616.7023554</v>
      </c>
      <c r="P28" s="227">
        <f>AVERAGE(ALL_DATA!Q80:Q82)</f>
        <v>114.35555555555555</v>
      </c>
      <c r="Q28" s="227">
        <f>AVERAGE(ALL_DATA!R80:R82)</f>
        <v>4.3111111111111109</v>
      </c>
      <c r="R28" s="227">
        <f>AVERAGE(ALL_DATA!S80:S82)</f>
        <v>2.5333333333333337</v>
      </c>
      <c r="S28" s="227">
        <f>AVERAGE(ALL_DATA!T80:T82)</f>
        <v>122.32592592592594</v>
      </c>
      <c r="T28" s="227">
        <f>AVERAGE(ALL_DATA!U80:U82)</f>
        <v>18.545924913330516</v>
      </c>
      <c r="U28" s="227">
        <f>AVERAGE(ALL_DATA!V80:V82)</f>
        <v>17.717512364827471</v>
      </c>
      <c r="V28" s="227">
        <f>AVERAGE(ALL_DATA!W80:W82)</f>
        <v>50.88593917753775</v>
      </c>
      <c r="W28" s="227">
        <f>AVERAGE(ALL_DATA!X80:X82)</f>
        <v>5971.663333333333</v>
      </c>
      <c r="X28" s="227">
        <f>AVERAGE(ALL_DATA!Y80:Y82)</f>
        <v>11.773333333333333</v>
      </c>
      <c r="Y28" s="227">
        <f>AVERAGE(ALL_DATA!Z80:Z82)</f>
        <v>0.12333333333333334</v>
      </c>
      <c r="Z28" s="227">
        <f>AVERAGE(ALL_DATA!AA80:AA82)</f>
        <v>4.503333333333333</v>
      </c>
      <c r="AA28" s="227">
        <f>AVERAGE(ALL_DATA!AB80:AB82)</f>
        <v>16.803333333333335</v>
      </c>
      <c r="AB28" s="227">
        <f>AVERAGE(ALL_DATA!AC80:AC82)</f>
        <v>8.5833333333333339</v>
      </c>
      <c r="AC28" s="227">
        <f>AVERAGE(ALL_DATA!AD80:AD82)</f>
        <v>14293.019999999999</v>
      </c>
      <c r="AD28" s="227">
        <f>AVERAGE(ALL_DATA!AE80:AE82)</f>
        <v>169.33666666666667</v>
      </c>
      <c r="AE28" s="227">
        <f>AVERAGE(ALL_DATA!AF80:AF82)</f>
        <v>10.206666666666665</v>
      </c>
      <c r="AF28" s="227">
        <f>AVERAGE(ALL_DATA!AG80:AG82)</f>
        <v>12.903333333333334</v>
      </c>
      <c r="AG28" s="227" t="s">
        <v>182</v>
      </c>
      <c r="AH28" s="227">
        <f>AVERAGE(ALL_DATA!AI80:AI82)</f>
        <v>25.033333333333331</v>
      </c>
      <c r="AI28" s="227">
        <f>AVERAGE(ALL_DATA!AJ80:AJ82)</f>
        <v>52.443333333333328</v>
      </c>
      <c r="AJ28" s="227">
        <f>AVERAGE(ALL_DATA!AK80:AK82)</f>
        <v>0.06</v>
      </c>
      <c r="AK28" s="227">
        <f>AVERAGE(ALL_DATA!AL80:AL82)</f>
        <v>1</v>
      </c>
      <c r="AL28" s="227">
        <f>AVERAGE(ALL_DATA!AM80:AM82)</f>
        <v>1.2266666666666666</v>
      </c>
      <c r="AM28" s="227">
        <f>AVERAGE(ALL_DATA!AN80:AN82)</f>
        <v>9.2866666666666671</v>
      </c>
      <c r="AN28" s="227">
        <f>AVERAGE(ALL_DATA!AO80:AO82)</f>
        <v>144.9</v>
      </c>
      <c r="AO28" s="227">
        <f>AVERAGE(ALL_DATA!AP80:AP82)</f>
        <v>61.966666666666669</v>
      </c>
      <c r="AP28" s="227">
        <f>AVERAGE(ALL_DATA!AQ80:AQ82)</f>
        <v>34.160484256363276</v>
      </c>
      <c r="AQ28" s="227">
        <f>AVERAGE(ALL_DATA!AR80:AR82)</f>
        <v>8.9999999999999993E-3</v>
      </c>
      <c r="AR28" s="227" t="s">
        <v>182</v>
      </c>
      <c r="AS28" s="227" t="s">
        <v>182</v>
      </c>
      <c r="AT28" s="227" t="s">
        <v>182</v>
      </c>
      <c r="AU28" s="227" t="s">
        <v>182</v>
      </c>
      <c r="AV28" s="227" t="s">
        <v>182</v>
      </c>
      <c r="AW28" s="227" t="s">
        <v>182</v>
      </c>
      <c r="AX28" s="227" t="s">
        <v>182</v>
      </c>
      <c r="AY28" s="227" t="s">
        <v>182</v>
      </c>
      <c r="AZ28" s="227" t="s">
        <v>182</v>
      </c>
      <c r="BA28" s="227" t="s">
        <v>182</v>
      </c>
      <c r="BB28" s="227" t="s">
        <v>182</v>
      </c>
      <c r="BC28" s="227" t="s">
        <v>182</v>
      </c>
      <c r="BD28" s="227" t="s">
        <v>182</v>
      </c>
      <c r="BE28" s="227">
        <f>AVERAGE(ALL_DATA!BF80:BF82)</f>
        <v>6.8000000000000005E-2</v>
      </c>
      <c r="BF28" s="227" t="s">
        <v>182</v>
      </c>
      <c r="BG28" s="227" t="s">
        <v>182</v>
      </c>
      <c r="BH28" s="227" t="s">
        <v>182</v>
      </c>
      <c r="BI28" s="227" t="s">
        <v>182</v>
      </c>
      <c r="BJ28" s="227" t="s">
        <v>182</v>
      </c>
      <c r="BK28" s="227" t="s">
        <v>182</v>
      </c>
      <c r="BL28" s="227" t="s">
        <v>182</v>
      </c>
      <c r="BM28" s="227" t="s">
        <v>182</v>
      </c>
      <c r="BN28" s="227" t="s">
        <v>182</v>
      </c>
      <c r="BO28" s="227">
        <f>AVERAGE(ALL_DATA!BP80:BP82)</f>
        <v>0.01</v>
      </c>
      <c r="BP28" s="227" t="s">
        <v>182</v>
      </c>
      <c r="BQ28" s="227" t="s">
        <v>182</v>
      </c>
      <c r="BR28" s="227" t="s">
        <v>182</v>
      </c>
      <c r="BS28" s="227" t="s">
        <v>182</v>
      </c>
      <c r="BT28" s="227">
        <f>AVERAGE(ALL_DATA!BU80:BU82)</f>
        <v>0.03</v>
      </c>
      <c r="BU28" s="227" t="s">
        <v>182</v>
      </c>
      <c r="BV28" s="227" t="s">
        <v>182</v>
      </c>
      <c r="BW28" s="227" t="s">
        <v>182</v>
      </c>
      <c r="BX28" s="227" t="s">
        <v>182</v>
      </c>
      <c r="BY28" s="227" t="s">
        <v>182</v>
      </c>
      <c r="BZ28" s="227">
        <f>AVERAGE(ALL_DATA!CA80:CA82)</f>
        <v>45.142969920079508</v>
      </c>
      <c r="CA28" s="227">
        <f>AVERAGE(ALL_DATA!CB80:CB82)</f>
        <v>2.3326666666666669</v>
      </c>
      <c r="CB28" s="227">
        <f>AVERAGE(ALL_DATA!CC80:CC82)</f>
        <v>11.612</v>
      </c>
      <c r="CC28" s="227">
        <f>AVERAGE(ALL_DATA!CD80:CD82)</f>
        <v>133.79</v>
      </c>
      <c r="CD28" s="227">
        <f>AVERAGE(ALL_DATA!CE80:CE82)</f>
        <v>6.5692260000000005</v>
      </c>
      <c r="CE28" s="227">
        <f>AVERAGE(ALL_DATA!CF80:CF82)</f>
        <v>64.995916333333341</v>
      </c>
      <c r="CF28" s="227">
        <f>AVERAGE(ALL_DATA!CG80:CG82)</f>
        <v>28.434857000000004</v>
      </c>
    </row>
    <row r="29" spans="1:84" s="227" customFormat="1" ht="15.75" thickBot="1" x14ac:dyDescent="0.3">
      <c r="A29" s="227" t="s">
        <v>210</v>
      </c>
      <c r="B29" s="227" t="s">
        <v>76</v>
      </c>
      <c r="C29" s="227" t="s">
        <v>160</v>
      </c>
      <c r="D29" s="227" t="s">
        <v>83</v>
      </c>
      <c r="E29" s="228" t="s">
        <v>167</v>
      </c>
      <c r="F29" s="228" t="s">
        <v>168</v>
      </c>
      <c r="G29" s="229">
        <v>44536</v>
      </c>
      <c r="H29" s="309">
        <v>0.51736111111111105</v>
      </c>
      <c r="I29" s="227">
        <f>AVERAGE(ALL_DATA!J83:J85)</f>
        <v>8.6</v>
      </c>
      <c r="J29" s="227">
        <f>AVERAGE(ALL_DATA!K83:K85)</f>
        <v>7.580000000000001</v>
      </c>
      <c r="K29" s="227">
        <f>AVERAGE(ALL_DATA!L83:L85)</f>
        <v>14.333333333333334</v>
      </c>
      <c r="L29" s="227">
        <f>AVERAGE(ALL_DATA!M83:M85)</f>
        <v>23.863333333333333</v>
      </c>
      <c r="M29" s="227">
        <f>AVERAGE(ALL_DATA!N83:N85)</f>
        <v>-29.450300000000009</v>
      </c>
      <c r="N29" s="227">
        <f>AVERAGE(ALL_DATA!O83:O85)</f>
        <v>9.5</v>
      </c>
      <c r="O29" s="227">
        <f>AVERAGE(ALL_DATA!P83:P85)</f>
        <v>3285647457.6271186</v>
      </c>
      <c r="P29" s="227">
        <f>AVERAGE(ALL_DATA!Q83:Q85)</f>
        <v>12.066666666666668</v>
      </c>
      <c r="Q29" s="227">
        <f>AVERAGE(ALL_DATA!R83:R85)</f>
        <v>0.42222222222222222</v>
      </c>
      <c r="R29" s="227">
        <f>AVERAGE(ALL_DATA!S83:S85)</f>
        <v>0.24444444444444446</v>
      </c>
      <c r="S29" s="227">
        <f>AVERAGE(ALL_DATA!T83:T85)</f>
        <v>13.037037037037033</v>
      </c>
      <c r="T29" s="227">
        <f>AVERAGE(ALL_DATA!U83:U85)</f>
        <v>24.87084798277068</v>
      </c>
      <c r="U29" s="227">
        <f>AVERAGE(ALL_DATA!V83:V85)</f>
        <v>38.405894968922958</v>
      </c>
      <c r="V29" s="227">
        <f>AVERAGE(ALL_DATA!W83:W85)</f>
        <v>38.167839370660765</v>
      </c>
      <c r="W29" s="227">
        <f>AVERAGE(ALL_DATA!X83:X85)</f>
        <v>7215.6533333333327</v>
      </c>
      <c r="X29" s="227">
        <f>AVERAGE(ALL_DATA!Y83:Y85)</f>
        <v>17.79</v>
      </c>
      <c r="Y29" s="227">
        <f>AVERAGE(ALL_DATA!Z83:Z85)</f>
        <v>0.13</v>
      </c>
      <c r="Z29" s="227">
        <f>AVERAGE(ALL_DATA!AA83:AA85)</f>
        <v>9.8166666666666664</v>
      </c>
      <c r="AA29" s="227">
        <f>AVERAGE(ALL_DATA!AB83:AB85)</f>
        <v>29.276666666666667</v>
      </c>
      <c r="AB29" s="227">
        <f>AVERAGE(ALL_DATA!AC83:AC85)</f>
        <v>18.186666666666667</v>
      </c>
      <c r="AC29" s="227">
        <f>AVERAGE(ALL_DATA!AD83:AD85)</f>
        <v>27332.076666666664</v>
      </c>
      <c r="AD29" s="227">
        <f>AVERAGE(ALL_DATA!AE83:AE85)</f>
        <v>602.36</v>
      </c>
      <c r="AE29" s="227">
        <f>AVERAGE(ALL_DATA!AF83:AF85)</f>
        <v>22.429999999999996</v>
      </c>
      <c r="AF29" s="227">
        <f>AVERAGE(ALL_DATA!AG83:AG85)</f>
        <v>20.29</v>
      </c>
      <c r="AG29" s="227" t="s">
        <v>182</v>
      </c>
      <c r="AH29" s="227">
        <f>AVERAGE(ALL_DATA!AI83:AI85)</f>
        <v>44.396666666666668</v>
      </c>
      <c r="AI29" s="227">
        <f>AVERAGE(ALL_DATA!AJ83:AJ85)</f>
        <v>123.90666666666668</v>
      </c>
      <c r="AJ29" s="227">
        <f>AVERAGE(ALL_DATA!AK83:AK85)</f>
        <v>0.10000000000000002</v>
      </c>
      <c r="AK29" s="227">
        <f>AVERAGE(ALL_DATA!AL83:AL85)</f>
        <v>0</v>
      </c>
      <c r="AL29" s="227">
        <f>AVERAGE(ALL_DATA!AM83:AM85)</f>
        <v>1.0633333333333332</v>
      </c>
      <c r="AM29" s="227">
        <f>AVERAGE(ALL_DATA!AN83:AN85)</f>
        <v>25.76</v>
      </c>
      <c r="AN29" s="227">
        <f>AVERAGE(ALL_DATA!AO83:AO85)</f>
        <v>453.09666666666664</v>
      </c>
      <c r="AO29" s="227">
        <f>AVERAGE(ALL_DATA!AP83:AP85)</f>
        <v>139.94333333333333</v>
      </c>
      <c r="AP29" s="227">
        <f>AVERAGE(ALL_DATA!AQ83:AQ85)</f>
        <v>37.469965100919232</v>
      </c>
      <c r="AQ29" s="227" t="s">
        <v>182</v>
      </c>
      <c r="AR29" s="227" t="s">
        <v>182</v>
      </c>
      <c r="AS29" s="227" t="s">
        <v>182</v>
      </c>
      <c r="AT29" s="227" t="s">
        <v>182</v>
      </c>
      <c r="AU29" s="227" t="s">
        <v>182</v>
      </c>
      <c r="AV29" s="227" t="s">
        <v>182</v>
      </c>
      <c r="AW29" s="227" t="s">
        <v>182</v>
      </c>
      <c r="AX29" s="227" t="s">
        <v>182</v>
      </c>
      <c r="AY29" s="227" t="s">
        <v>182</v>
      </c>
      <c r="AZ29" s="227" t="s">
        <v>182</v>
      </c>
      <c r="BA29" s="227" t="s">
        <v>182</v>
      </c>
      <c r="BB29" s="227" t="s">
        <v>182</v>
      </c>
      <c r="BC29" s="227" t="s">
        <v>182</v>
      </c>
      <c r="BD29" s="227" t="s">
        <v>182</v>
      </c>
      <c r="BE29" s="227">
        <f>AVERAGE(ALL_DATA!BF83:BF85)</f>
        <v>8.2000000000000003E-2</v>
      </c>
      <c r="BF29" s="227" t="s">
        <v>182</v>
      </c>
      <c r="BG29" s="227" t="s">
        <v>182</v>
      </c>
      <c r="BH29" s="227" t="s">
        <v>182</v>
      </c>
      <c r="BI29" s="227" t="s">
        <v>182</v>
      </c>
      <c r="BJ29" s="227" t="s">
        <v>182</v>
      </c>
      <c r="BK29" s="227" t="s">
        <v>182</v>
      </c>
      <c r="BL29" s="227" t="s">
        <v>182</v>
      </c>
      <c r="BM29" s="227">
        <f>AVERAGE(ALL_DATA!BN83:BN85)</f>
        <v>0.08</v>
      </c>
      <c r="BN29" s="227" t="s">
        <v>182</v>
      </c>
      <c r="BO29" s="227">
        <f>AVERAGE(ALL_DATA!BP83:BP85)</f>
        <v>1.7000000000000001E-2</v>
      </c>
      <c r="BP29" s="227" t="s">
        <v>182</v>
      </c>
      <c r="BQ29" s="227" t="s">
        <v>182</v>
      </c>
      <c r="BR29" s="227" t="s">
        <v>182</v>
      </c>
      <c r="BS29" s="227" t="s">
        <v>182</v>
      </c>
      <c r="BT29" s="227">
        <f>AVERAGE(ALL_DATA!BU83:BU85)</f>
        <v>5.2999999999999999E-2</v>
      </c>
      <c r="BU29" s="227" t="s">
        <v>182</v>
      </c>
      <c r="BV29" s="227">
        <f>AVERAGE(ALL_DATA!BW83:BW85)</f>
        <v>5.0999999999999997E-2</v>
      </c>
      <c r="BW29" s="227" t="s">
        <v>182</v>
      </c>
      <c r="BX29" s="227" t="s">
        <v>182</v>
      </c>
      <c r="BY29" s="227" t="s">
        <v>182</v>
      </c>
      <c r="BZ29" s="227">
        <f>AVERAGE(ALL_DATA!CA83:CA85)</f>
        <v>62.431257071380884</v>
      </c>
      <c r="CA29" s="227">
        <f>AVERAGE(ALL_DATA!CB83:CB85)</f>
        <v>1.7746666666666666</v>
      </c>
      <c r="CB29" s="227">
        <f>AVERAGE(ALL_DATA!CC83:CC85)</f>
        <v>7.8633333333333333</v>
      </c>
      <c r="CC29" s="227">
        <f>AVERAGE(ALL_DATA!CD83:CD85)</f>
        <v>60.010333333333335</v>
      </c>
      <c r="CD29" s="227">
        <f>AVERAGE(ALL_DATA!CE83:CE85)</f>
        <v>10.184694333333333</v>
      </c>
      <c r="CE29" s="227">
        <f>AVERAGE(ALL_DATA!CF83:CF85)</f>
        <v>79.385345000000015</v>
      </c>
      <c r="CF29" s="227">
        <f>AVERAGE(ALL_DATA!CG83:CG85)</f>
        <v>10.429960333333334</v>
      </c>
    </row>
    <row r="30" spans="1:84" s="227" customFormat="1" ht="15.75" thickBot="1" x14ac:dyDescent="0.3">
      <c r="A30" s="227" t="s">
        <v>211</v>
      </c>
      <c r="B30" s="227" t="s">
        <v>77</v>
      </c>
      <c r="C30" s="227" t="s">
        <v>160</v>
      </c>
      <c r="D30" s="227" t="s">
        <v>84</v>
      </c>
      <c r="E30" s="228" t="s">
        <v>169</v>
      </c>
      <c r="F30" s="228" t="s">
        <v>170</v>
      </c>
      <c r="G30" s="229">
        <v>44537</v>
      </c>
      <c r="H30" s="230">
        <v>0.47916666666666669</v>
      </c>
      <c r="I30" s="227">
        <f>AVERAGE(ALL_DATA!J86:J88)</f>
        <v>8.6999999999999993</v>
      </c>
      <c r="J30" s="227">
        <f>AVERAGE(ALL_DATA!K86:K88)</f>
        <v>7.57</v>
      </c>
      <c r="K30" s="227">
        <f>AVERAGE(ALL_DATA!L86:L88)</f>
        <v>32.833333333333336</v>
      </c>
      <c r="L30" s="227">
        <f>AVERAGE(ALL_DATA!M86:M88)</f>
        <v>51.166666666666664</v>
      </c>
      <c r="M30" s="227">
        <f>AVERAGE(ALL_DATA!N86:N88)</f>
        <v>-28.892449999999997</v>
      </c>
      <c r="N30" s="227">
        <f>AVERAGE(ALL_DATA!O86:O88)</f>
        <v>9.4666666666666668</v>
      </c>
      <c r="O30" s="227">
        <f>AVERAGE(ALL_DATA!P86:P88)</f>
        <v>4534101215.4696131</v>
      </c>
      <c r="P30" s="227">
        <f>AVERAGE(ALL_DATA!Q86:Q88)</f>
        <v>65.644444444444446</v>
      </c>
      <c r="Q30" s="227">
        <f>AVERAGE(ALL_DATA!R86:R88)</f>
        <v>1.4666666666666668</v>
      </c>
      <c r="R30" s="227">
        <f>AVERAGE(ALL_DATA!S86:S88)</f>
        <v>1.5555555555555554</v>
      </c>
      <c r="S30" s="227">
        <f>AVERAGE(ALL_DATA!T86:T88)</f>
        <v>71.437037037037044</v>
      </c>
      <c r="T30" s="227">
        <f>AVERAGE(ALL_DATA!U86:U88)</f>
        <v>10.42401393201898</v>
      </c>
      <c r="U30" s="227">
        <f>AVERAGE(ALL_DATA!V86:V88)</f>
        <v>16.318157861227771</v>
      </c>
      <c r="V30" s="227">
        <f>AVERAGE(ALL_DATA!W86:W88)</f>
        <v>38.72160617618551</v>
      </c>
      <c r="W30" s="227">
        <f>AVERAGE(ALL_DATA!X86:X88)</f>
        <v>6976.4966666666669</v>
      </c>
      <c r="X30" s="227">
        <f>AVERAGE(ALL_DATA!Y86:Y88)</f>
        <v>12.790000000000001</v>
      </c>
      <c r="Y30" s="227">
        <f>AVERAGE(ALL_DATA!Z86:Z88)</f>
        <v>9.3333333333333338E-2</v>
      </c>
      <c r="Z30" s="227">
        <f>AVERAGE(ALL_DATA!AA86:AA88)</f>
        <v>6.8</v>
      </c>
      <c r="AA30" s="227">
        <f>AVERAGE(ALL_DATA!AB86:AB88)</f>
        <v>21.943333333333332</v>
      </c>
      <c r="AB30" s="227">
        <f>AVERAGE(ALL_DATA!AC86:AC88)</f>
        <v>11.06</v>
      </c>
      <c r="AC30" s="227">
        <f>AVERAGE(ALL_DATA!AD86:AD88)</f>
        <v>19842.48</v>
      </c>
      <c r="AD30" s="227">
        <f>AVERAGE(ALL_DATA!AE86:AE88)</f>
        <v>245.75333333333333</v>
      </c>
      <c r="AE30" s="227">
        <f>AVERAGE(ALL_DATA!AF86:AF88)</f>
        <v>15.003333333333332</v>
      </c>
      <c r="AF30" s="227">
        <f>AVERAGE(ALL_DATA!AG86:AG88)</f>
        <v>20.400000000000002</v>
      </c>
      <c r="AG30" s="227" t="s">
        <v>182</v>
      </c>
      <c r="AH30" s="227">
        <f>AVERAGE(ALL_DATA!AI86:AI88)</f>
        <v>29.073333333333334</v>
      </c>
      <c r="AI30" s="227">
        <f>AVERAGE(ALL_DATA!AJ86:AJ88)</f>
        <v>74.8</v>
      </c>
      <c r="AJ30" s="227">
        <f>AVERAGE(ALL_DATA!AK86:AK88)</f>
        <v>8.666666666666667E-2</v>
      </c>
      <c r="AK30" s="227">
        <f>AVERAGE(ALL_DATA!AL86:AL88)</f>
        <v>0.23333333333333331</v>
      </c>
      <c r="AL30" s="227">
        <f>AVERAGE(ALL_DATA!AM86:AM88)</f>
        <v>1.93</v>
      </c>
      <c r="AM30" s="227">
        <f>AVERAGE(ALL_DATA!AN86:AN88)</f>
        <v>9.9566666666666688</v>
      </c>
      <c r="AN30" s="227">
        <f>AVERAGE(ALL_DATA!AO86:AO88)</f>
        <v>79.239999999999995</v>
      </c>
      <c r="AO30" s="227">
        <f>AVERAGE(ALL_DATA!AP86:AP88)</f>
        <v>74.553333333333327</v>
      </c>
      <c r="AP30" s="227">
        <f>AVERAGE(ALL_DATA!AQ86:AQ88)</f>
        <v>41.548332200373643</v>
      </c>
      <c r="AQ30" s="227" t="s">
        <v>182</v>
      </c>
      <c r="AR30" s="227" t="s">
        <v>182</v>
      </c>
      <c r="AS30" s="227" t="s">
        <v>182</v>
      </c>
      <c r="AT30" s="227" t="s">
        <v>182</v>
      </c>
      <c r="AU30" s="227" t="s">
        <v>182</v>
      </c>
      <c r="AV30" s="227" t="s">
        <v>182</v>
      </c>
      <c r="AW30" s="227" t="s">
        <v>182</v>
      </c>
      <c r="AX30" s="227" t="s">
        <v>182</v>
      </c>
      <c r="AY30" s="227" t="s">
        <v>182</v>
      </c>
      <c r="AZ30" s="227" t="s">
        <v>182</v>
      </c>
      <c r="BA30" s="227" t="s">
        <v>182</v>
      </c>
      <c r="BB30" s="227" t="s">
        <v>182</v>
      </c>
      <c r="BC30" s="227">
        <f>AVERAGE(ALL_DATA!BD86:BD88)</f>
        <v>6.3E-2</v>
      </c>
      <c r="BD30" s="227" t="s">
        <v>182</v>
      </c>
      <c r="BE30" s="227">
        <f>AVERAGE(ALL_DATA!BF86:BF88)</f>
        <v>0.14699999999999999</v>
      </c>
      <c r="BF30" s="227" t="s">
        <v>182</v>
      </c>
      <c r="BG30" s="227" t="s">
        <v>182</v>
      </c>
      <c r="BH30" s="227" t="s">
        <v>182</v>
      </c>
      <c r="BI30" s="227" t="s">
        <v>182</v>
      </c>
      <c r="BJ30" s="227" t="s">
        <v>182</v>
      </c>
      <c r="BK30" s="227" t="s">
        <v>182</v>
      </c>
      <c r="BL30" s="227" t="s">
        <v>182</v>
      </c>
      <c r="BM30" s="227">
        <f>AVERAGE(ALL_DATA!BN86:BN88)</f>
        <v>0.14299999999999999</v>
      </c>
      <c r="BN30" s="227" t="s">
        <v>182</v>
      </c>
      <c r="BO30" s="227">
        <f>AVERAGE(ALL_DATA!BP86:BP88)</f>
        <v>4.2000000000000003E-2</v>
      </c>
      <c r="BP30" s="227">
        <f>AVERAGE(ALL_DATA!BQ86:BQ88)</f>
        <v>3.9E-2</v>
      </c>
      <c r="BQ30" s="227" t="s">
        <v>182</v>
      </c>
      <c r="BR30" s="227" t="s">
        <v>182</v>
      </c>
      <c r="BS30" s="227" t="s">
        <v>182</v>
      </c>
      <c r="BT30" s="227">
        <f>AVERAGE(ALL_DATA!BU86:BU88)</f>
        <v>9.2000000000000012E-2</v>
      </c>
      <c r="BU30" s="227" t="s">
        <v>182</v>
      </c>
      <c r="BV30" s="227">
        <f>AVERAGE(ALL_DATA!BW86:BW88)</f>
        <v>0.155</v>
      </c>
      <c r="BW30" s="227" t="s">
        <v>182</v>
      </c>
      <c r="BX30" s="227" t="s">
        <v>182</v>
      </c>
      <c r="BY30" s="227" t="s">
        <v>182</v>
      </c>
      <c r="BZ30" s="227">
        <f>AVERAGE(ALL_DATA!CA86:CA88)</f>
        <v>49.813908127289181</v>
      </c>
      <c r="CA30" s="227">
        <f>AVERAGE(ALL_DATA!CB86:CB88)</f>
        <v>2.2106666666666666</v>
      </c>
      <c r="CB30" s="227">
        <f>AVERAGE(ALL_DATA!CC86:CC88)</f>
        <v>11.038000000000002</v>
      </c>
      <c r="CC30" s="227">
        <f>AVERAGE(ALL_DATA!CD86:CD88)</f>
        <v>110.92466666666667</v>
      </c>
      <c r="CD30" s="227">
        <f>AVERAGE(ALL_DATA!CE86:CE88)</f>
        <v>7.0867433333333336</v>
      </c>
      <c r="CE30" s="227">
        <f>AVERAGE(ALL_DATA!CF86:CF88)</f>
        <v>68.145217666666667</v>
      </c>
      <c r="CF30" s="227">
        <f>AVERAGE(ALL_DATA!CG86:CG88)</f>
        <v>24.768038333333333</v>
      </c>
    </row>
    <row r="31" spans="1:84" s="227" customFormat="1" ht="15.75" thickBot="1" x14ac:dyDescent="0.3">
      <c r="A31" s="227" t="s">
        <v>212</v>
      </c>
      <c r="B31" s="227" t="s">
        <v>78</v>
      </c>
      <c r="C31" s="227" t="s">
        <v>160</v>
      </c>
      <c r="D31" s="227" t="s">
        <v>84</v>
      </c>
      <c r="E31" s="228" t="s">
        <v>171</v>
      </c>
      <c r="F31" s="228" t="s">
        <v>172</v>
      </c>
      <c r="G31" s="229">
        <v>44538</v>
      </c>
      <c r="H31" s="309">
        <v>0.51944444444444449</v>
      </c>
      <c r="I31" s="227">
        <f>AVERAGE(ALL_DATA!J89:J91)</f>
        <v>8.1</v>
      </c>
      <c r="J31" s="227">
        <f>AVERAGE(ALL_DATA!K89:K91)</f>
        <v>7.3466666666666667</v>
      </c>
      <c r="K31" s="227">
        <f>AVERAGE(ALL_DATA!L89:L91)</f>
        <v>24.733333333333331</v>
      </c>
      <c r="L31" s="227">
        <f>AVERAGE(ALL_DATA!M89:M91)</f>
        <v>39.266666666666673</v>
      </c>
      <c r="M31" s="227">
        <f>AVERAGE(ALL_DATA!N89:N91)</f>
        <v>-16.433800000000019</v>
      </c>
      <c r="N31" s="227">
        <f>AVERAGE(ALL_DATA!O89:O91)</f>
        <v>20</v>
      </c>
      <c r="O31" s="227">
        <f>AVERAGE(ALL_DATA!P89:P91)</f>
        <v>3609484745.7627125</v>
      </c>
      <c r="P31" s="227">
        <f>AVERAGE(ALL_DATA!Q89:Q91)</f>
        <v>372.44444444444451</v>
      </c>
      <c r="Q31" s="227">
        <f>AVERAGE(ALL_DATA!R89:R91)</f>
        <v>2.4</v>
      </c>
      <c r="R31" s="227">
        <f>AVERAGE(ALL_DATA!S89:S91)</f>
        <v>1.6000000000000003</v>
      </c>
      <c r="S31" s="227">
        <f>AVERAGE(ALL_DATA!T89:T91)</f>
        <v>377.71851851851852</v>
      </c>
      <c r="T31" s="227">
        <f>AVERAGE(ALL_DATA!U89:U91)</f>
        <v>18.390881474821843</v>
      </c>
      <c r="U31" s="227">
        <f>AVERAGE(ALL_DATA!V89:V91)</f>
        <v>25.194435441531908</v>
      </c>
      <c r="V31" s="227">
        <f>AVERAGE(ALL_DATA!W89:W91)</f>
        <v>42.799016778874488</v>
      </c>
      <c r="W31" s="227">
        <f>AVERAGE(ALL_DATA!X89:X91)</f>
        <v>7355.6100000000006</v>
      </c>
      <c r="X31" s="227">
        <f>AVERAGE(ALL_DATA!Y89:Y91)</f>
        <v>17.623333333333331</v>
      </c>
      <c r="Y31" s="227">
        <f>AVERAGE(ALL_DATA!Z89:Z91)</f>
        <v>0.17</v>
      </c>
      <c r="Z31" s="227">
        <f>AVERAGE(ALL_DATA!AA89:AA91)</f>
        <v>9.2433333333333341</v>
      </c>
      <c r="AA31" s="227">
        <f>AVERAGE(ALL_DATA!AB89:AB91)</f>
        <v>34.493333333333332</v>
      </c>
      <c r="AB31" s="227">
        <f>AVERAGE(ALL_DATA!AC89:AC91)</f>
        <v>30.593333333333334</v>
      </c>
      <c r="AC31" s="227">
        <f>AVERAGE(ALL_DATA!AD89:AD91)</f>
        <v>27680.456666666665</v>
      </c>
      <c r="AD31" s="227">
        <f>AVERAGE(ALL_DATA!AE89:AE91)</f>
        <v>458.3633333333334</v>
      </c>
      <c r="AE31" s="227">
        <f>AVERAGE(ALL_DATA!AF89:AF91)</f>
        <v>23.896666666666665</v>
      </c>
      <c r="AF31" s="227">
        <f>AVERAGE(ALL_DATA!AG89:AG91)</f>
        <v>19.863333333333333</v>
      </c>
      <c r="AG31" s="227" t="s">
        <v>182</v>
      </c>
      <c r="AH31" s="227">
        <f>AVERAGE(ALL_DATA!AI89:AI91)</f>
        <v>38.81</v>
      </c>
      <c r="AI31" s="227">
        <f>AVERAGE(ALL_DATA!AJ89:AJ91)</f>
        <v>111.60333333333334</v>
      </c>
      <c r="AJ31" s="227">
        <f>AVERAGE(ALL_DATA!AK89:AK91)</f>
        <v>0.13</v>
      </c>
      <c r="AK31" s="227">
        <f>AVERAGE(ALL_DATA!AL89:AL91)</f>
        <v>0.93666666666666665</v>
      </c>
      <c r="AL31" s="227">
        <f>AVERAGE(ALL_DATA!AM89:AM91)</f>
        <v>2.2166666666666668</v>
      </c>
      <c r="AM31" s="227">
        <f>AVERAGE(ALL_DATA!AN89:AN91)</f>
        <v>6.6733333333333329</v>
      </c>
      <c r="AN31" s="227">
        <f>AVERAGE(ALL_DATA!AO89:AO91)</f>
        <v>122.82000000000001</v>
      </c>
      <c r="AO31" s="227">
        <f>AVERAGE(ALL_DATA!AP89:AP91)</f>
        <v>34.313333333333333</v>
      </c>
      <c r="AP31" s="227">
        <f>AVERAGE(ALL_DATA!AQ89:AQ91)</f>
        <v>44.140736888644931</v>
      </c>
      <c r="AQ31" s="227" t="s">
        <v>182</v>
      </c>
      <c r="AR31" s="227" t="s">
        <v>182</v>
      </c>
      <c r="AS31" s="227" t="s">
        <v>182</v>
      </c>
      <c r="AT31" s="227" t="s">
        <v>182</v>
      </c>
      <c r="AU31" s="227" t="s">
        <v>182</v>
      </c>
      <c r="AV31" s="227" t="s">
        <v>182</v>
      </c>
      <c r="AW31" s="227" t="s">
        <v>182</v>
      </c>
      <c r="AX31" s="227" t="s">
        <v>182</v>
      </c>
      <c r="AY31" s="227" t="s">
        <v>182</v>
      </c>
      <c r="AZ31" s="227" t="s">
        <v>182</v>
      </c>
      <c r="BA31" s="227" t="s">
        <v>182</v>
      </c>
      <c r="BB31" s="227" t="s">
        <v>182</v>
      </c>
      <c r="BC31" s="227">
        <f>AVERAGE(ALL_DATA!BD89:BD91)</f>
        <v>3.5999999999999997E-2</v>
      </c>
      <c r="BD31" s="227" t="s">
        <v>182</v>
      </c>
      <c r="BE31" s="227">
        <f>AVERAGE(ALL_DATA!BF89:BF91)</f>
        <v>7.3999999999999996E-2</v>
      </c>
      <c r="BF31" s="227" t="s">
        <v>182</v>
      </c>
      <c r="BG31" s="227" t="s">
        <v>182</v>
      </c>
      <c r="BH31" s="227">
        <f>AVERAGE(ALL_DATA!BI89:BI91)</f>
        <v>5.0000000000000001E-3</v>
      </c>
      <c r="BI31" s="227" t="s">
        <v>182</v>
      </c>
      <c r="BJ31" s="227" t="s">
        <v>182</v>
      </c>
      <c r="BK31" s="227" t="s">
        <v>182</v>
      </c>
      <c r="BL31" s="227" t="s">
        <v>182</v>
      </c>
      <c r="BM31" s="227">
        <f>AVERAGE(ALL_DATA!BN89:BN91)</f>
        <v>0.106</v>
      </c>
      <c r="BN31" s="227" t="s">
        <v>182</v>
      </c>
      <c r="BO31" s="227">
        <f>AVERAGE(ALL_DATA!BP89:BP91)</f>
        <v>3.9E-2</v>
      </c>
      <c r="BP31" s="227" t="s">
        <v>182</v>
      </c>
      <c r="BQ31" s="227" t="s">
        <v>182</v>
      </c>
      <c r="BR31" s="227" t="s">
        <v>182</v>
      </c>
      <c r="BS31" s="227" t="s">
        <v>182</v>
      </c>
      <c r="BT31" s="227">
        <f>AVERAGE(ALL_DATA!BU89:BU91)</f>
        <v>0.11</v>
      </c>
      <c r="BU31" s="227" t="s">
        <v>182</v>
      </c>
      <c r="BV31" s="227">
        <f>AVERAGE(ALL_DATA!BW89:BW91)</f>
        <v>9.8000000000000018E-2</v>
      </c>
      <c r="BW31" s="227" t="s">
        <v>182</v>
      </c>
      <c r="BX31" s="227" t="s">
        <v>182</v>
      </c>
      <c r="BY31" s="227" t="s">
        <v>182</v>
      </c>
      <c r="BZ31" s="227">
        <f>AVERAGE(ALL_DATA!CA89:CA91)</f>
        <v>51.765618188613416</v>
      </c>
      <c r="CA31" s="227">
        <f>AVERAGE(ALL_DATA!CB89:CB91)</f>
        <v>1.998</v>
      </c>
      <c r="CB31" s="227">
        <f>AVERAGE(ALL_DATA!CC89:CC91)</f>
        <v>8.0726666666666684</v>
      </c>
      <c r="CC31" s="227">
        <f>AVERAGE(ALL_DATA!CD89:CD91)</f>
        <v>141.94366666666664</v>
      </c>
      <c r="CD31" s="227">
        <f>AVERAGE(ALL_DATA!CE89:CE91)</f>
        <v>8.4009113333333332</v>
      </c>
      <c r="CE31" s="227">
        <f>AVERAGE(ALL_DATA!CF89:CF91)</f>
        <v>76.547904666666682</v>
      </c>
      <c r="CF31" s="227">
        <f>AVERAGE(ALL_DATA!CG89:CG91)</f>
        <v>15.05118433333333</v>
      </c>
    </row>
    <row r="32" spans="1:84" s="227" customFormat="1" ht="15.75" thickBot="1" x14ac:dyDescent="0.3">
      <c r="A32" s="227" t="s">
        <v>213</v>
      </c>
      <c r="B32" s="227" t="s">
        <v>79</v>
      </c>
      <c r="C32" s="227" t="s">
        <v>160</v>
      </c>
      <c r="D32" s="227" t="s">
        <v>83</v>
      </c>
      <c r="E32" s="228" t="s">
        <v>173</v>
      </c>
      <c r="F32" s="228" t="s">
        <v>174</v>
      </c>
      <c r="G32" s="229">
        <v>44533</v>
      </c>
      <c r="H32" s="230">
        <v>0.4694444444444445</v>
      </c>
      <c r="I32" s="227">
        <f>AVERAGE(ALL_DATA!J92:J94)</f>
        <v>6.7</v>
      </c>
      <c r="J32" s="227">
        <f>AVERAGE(ALL_DATA!K92:K94)</f>
        <v>7.9133333333333331</v>
      </c>
      <c r="K32" s="227">
        <f>AVERAGE(ALL_DATA!L92:L94)</f>
        <v>4.3</v>
      </c>
      <c r="L32" s="227">
        <f>AVERAGE(ALL_DATA!M92:M94)</f>
        <v>7.8866666666666658</v>
      </c>
      <c r="M32" s="227">
        <f>AVERAGE(ALL_DATA!N92:N94)</f>
        <v>-48.045299999999976</v>
      </c>
      <c r="N32" s="227">
        <f>AVERAGE(ALL_DATA!O92:O94)</f>
        <v>15</v>
      </c>
      <c r="O32" s="227">
        <f>AVERAGE(ALL_DATA!P92:P94)</f>
        <v>1601870055.2486188</v>
      </c>
      <c r="P32" s="227">
        <f>AVERAGE(ALL_DATA!Q92:Q94)</f>
        <v>15.333333333333334</v>
      </c>
      <c r="Q32" s="227">
        <f>AVERAGE(ALL_DATA!R92:R94)</f>
        <v>1.6444444444444446</v>
      </c>
      <c r="R32" s="227">
        <f>AVERAGE(ALL_DATA!S92:S94)</f>
        <v>0.73333333333333328</v>
      </c>
      <c r="S32" s="227">
        <f>AVERAGE(ALL_DATA!T92:T94)</f>
        <v>20.311111111111114</v>
      </c>
      <c r="T32" s="227">
        <f>AVERAGE(ALL_DATA!U92:U94)</f>
        <v>4.9972955722745036</v>
      </c>
      <c r="U32" s="227">
        <f>AVERAGE(ALL_DATA!V92:V94)</f>
        <v>4.9513842272514914</v>
      </c>
      <c r="V32" s="227">
        <f>AVERAGE(ALL_DATA!W92:W94)</f>
        <v>49.924598738371778</v>
      </c>
      <c r="W32" s="227">
        <f>AVERAGE(ALL_DATA!X92:X94)</f>
        <v>7751.0800000000008</v>
      </c>
      <c r="X32" s="227">
        <f>AVERAGE(ALL_DATA!Y92:Y94)</f>
        <v>25.66</v>
      </c>
      <c r="Y32" s="227">
        <f>AVERAGE(ALL_DATA!Z92:Z94)</f>
        <v>0.34</v>
      </c>
      <c r="Z32" s="227">
        <f>AVERAGE(ALL_DATA!AA92:AA94)</f>
        <v>21.906666666666666</v>
      </c>
      <c r="AA32" s="227">
        <f>AVERAGE(ALL_DATA!AB92:AB94)</f>
        <v>32.766666666666673</v>
      </c>
      <c r="AB32" s="227">
        <f>AVERAGE(ALL_DATA!AC92:AC94)</f>
        <v>22.823333333333334</v>
      </c>
      <c r="AC32" s="227">
        <f>AVERAGE(ALL_DATA!AD92:AD94)</f>
        <v>32989.923333333332</v>
      </c>
      <c r="AD32" s="227">
        <f>AVERAGE(ALL_DATA!AE92:AE94)</f>
        <v>482.38666666666671</v>
      </c>
      <c r="AE32" s="227">
        <f>AVERAGE(ALL_DATA!AF92:AF94)</f>
        <v>33.533333333333339</v>
      </c>
      <c r="AF32" s="227">
        <f>AVERAGE(ALL_DATA!AG92:AG94)</f>
        <v>22.973333333333333</v>
      </c>
      <c r="AG32" s="227" t="s">
        <v>182</v>
      </c>
      <c r="AH32" s="227">
        <f>AVERAGE(ALL_DATA!AI92:AI94)</f>
        <v>39.75333333333333</v>
      </c>
      <c r="AI32" s="227">
        <f>AVERAGE(ALL_DATA!AJ92:AJ94)</f>
        <v>152.00333333333333</v>
      </c>
      <c r="AJ32" s="227">
        <f>AVERAGE(ALL_DATA!AK92:AK94)</f>
        <v>0.17666666666666667</v>
      </c>
      <c r="AK32" s="227">
        <f>AVERAGE(ALL_DATA!AL92:AL94)</f>
        <v>9.6666666666666665E-2</v>
      </c>
      <c r="AL32" s="227">
        <f>AVERAGE(ALL_DATA!AM92:AM94)</f>
        <v>0.84333333333333338</v>
      </c>
      <c r="AM32" s="227">
        <f>AVERAGE(ALL_DATA!AN92:AN94)</f>
        <v>3.1799999999999997</v>
      </c>
      <c r="AN32" s="227">
        <f>AVERAGE(ALL_DATA!AO92:AO94)</f>
        <v>132.05666666666667</v>
      </c>
      <c r="AO32" s="227">
        <f>AVERAGE(ALL_DATA!AP92:AP94)</f>
        <v>60.493333333333332</v>
      </c>
      <c r="AP32" s="227">
        <f>AVERAGE(ALL_DATA!AQ92:AQ94)</f>
        <v>40.989925477557648</v>
      </c>
      <c r="AQ32" s="227" t="s">
        <v>182</v>
      </c>
      <c r="AR32" s="227" t="s">
        <v>182</v>
      </c>
      <c r="AS32" s="227" t="s">
        <v>182</v>
      </c>
      <c r="AT32" s="227" t="s">
        <v>182</v>
      </c>
      <c r="AU32" s="227" t="s">
        <v>182</v>
      </c>
      <c r="AV32" s="227" t="s">
        <v>182</v>
      </c>
      <c r="AW32" s="227" t="s">
        <v>182</v>
      </c>
      <c r="AX32" s="227" t="s">
        <v>182</v>
      </c>
      <c r="AY32" s="227" t="s">
        <v>182</v>
      </c>
      <c r="AZ32" s="227" t="s">
        <v>182</v>
      </c>
      <c r="BA32" s="227" t="s">
        <v>182</v>
      </c>
      <c r="BB32" s="227" t="s">
        <v>182</v>
      </c>
      <c r="BC32" s="227">
        <f>AVERAGE(ALL_DATA!BD92:BD94)</f>
        <v>4.6000000000000006E-2</v>
      </c>
      <c r="BD32" s="227" t="s">
        <v>182</v>
      </c>
      <c r="BE32" s="227">
        <f>AVERAGE(ALL_DATA!BF92:BF94)</f>
        <v>8.6000000000000007E-2</v>
      </c>
      <c r="BF32" s="227" t="s">
        <v>182</v>
      </c>
      <c r="BG32" s="227" t="s">
        <v>182</v>
      </c>
      <c r="BH32" s="227">
        <f>AVERAGE(ALL_DATA!BI92:BI94)</f>
        <v>4.0000000000000001E-3</v>
      </c>
      <c r="BI32" s="227" t="s">
        <v>182</v>
      </c>
      <c r="BJ32" s="227" t="s">
        <v>182</v>
      </c>
      <c r="BK32" s="227" t="s">
        <v>182</v>
      </c>
      <c r="BL32" s="227" t="s">
        <v>182</v>
      </c>
      <c r="BM32" s="227">
        <f>AVERAGE(ALL_DATA!BN92:BN94)</f>
        <v>0.14099999999999999</v>
      </c>
      <c r="BN32" s="227" t="s">
        <v>182</v>
      </c>
      <c r="BO32" s="227">
        <f>AVERAGE(ALL_DATA!BP92:BP94)</f>
        <v>2.8000000000000001E-2</v>
      </c>
      <c r="BP32" s="227" t="s">
        <v>182</v>
      </c>
      <c r="BQ32" s="227" t="s">
        <v>182</v>
      </c>
      <c r="BR32" s="227" t="s">
        <v>182</v>
      </c>
      <c r="BS32" s="227" t="s">
        <v>182</v>
      </c>
      <c r="BT32" s="227">
        <f>AVERAGE(ALL_DATA!BU92:BU94)</f>
        <v>0.08</v>
      </c>
      <c r="BU32" s="227" t="s">
        <v>182</v>
      </c>
      <c r="BV32" s="227">
        <f>AVERAGE(ALL_DATA!BW92:BW94)</f>
        <v>0.112</v>
      </c>
      <c r="BW32" s="227" t="s">
        <v>182</v>
      </c>
      <c r="BX32" s="227" t="s">
        <v>182</v>
      </c>
      <c r="BY32" s="227">
        <f>AVERAGE(ALL_DATA!BZ92:BZ94)</f>
        <v>4.5000000000000005E-2</v>
      </c>
      <c r="BZ32" s="227">
        <f>AVERAGE(ALL_DATA!CA92:CA94)</f>
        <v>53.195532282964393</v>
      </c>
      <c r="CA32" s="227">
        <f>AVERAGE(ALL_DATA!CB92:CB94)</f>
        <v>1.6683333333333332</v>
      </c>
      <c r="CB32" s="227">
        <f>AVERAGE(ALL_DATA!CC92:CC94)</f>
        <v>7.2909999999999995</v>
      </c>
      <c r="CC32" s="227">
        <f>AVERAGE(ALL_DATA!CD92:CD94)</f>
        <v>62.028666666666673</v>
      </c>
      <c r="CD32" s="227">
        <f>AVERAGE(ALL_DATA!CE92:CE94)</f>
        <v>11.380559666666665</v>
      </c>
      <c r="CE32" s="227">
        <f>AVERAGE(ALL_DATA!CF92:CF94)</f>
        <v>77.710436999999999</v>
      </c>
      <c r="CF32" s="227">
        <f>AVERAGE(ALL_DATA!CG92:CG94)</f>
        <v>10.909002000000001</v>
      </c>
    </row>
    <row r="33" spans="1:84" s="227" customFormat="1" x14ac:dyDescent="0.25">
      <c r="A33" s="227" t="s">
        <v>214</v>
      </c>
      <c r="B33" s="227" t="s">
        <v>80</v>
      </c>
      <c r="C33" s="227" t="s">
        <v>160</v>
      </c>
      <c r="D33" s="227" t="s">
        <v>82</v>
      </c>
      <c r="E33" s="228" t="s">
        <v>175</v>
      </c>
      <c r="F33" s="228" t="s">
        <v>176</v>
      </c>
      <c r="G33" s="311">
        <v>44529</v>
      </c>
      <c r="H33" s="230">
        <v>0.41666666666666669</v>
      </c>
      <c r="I33" s="227">
        <f>AVERAGE(ALL_DATA!J95:J97)</f>
        <v>4.1666666666666661</v>
      </c>
      <c r="J33" s="227">
        <f>AVERAGE(ALL_DATA!K95:K97)</f>
        <v>7.4263333333333321</v>
      </c>
      <c r="K33" s="227">
        <f>AVERAGE(ALL_DATA!L95:L97)</f>
        <v>0.23333333333333331</v>
      </c>
      <c r="L33" s="227">
        <f>AVERAGE(ALL_DATA!M95:M97)</f>
        <v>0.61033333333333328</v>
      </c>
      <c r="M33" s="227">
        <f>AVERAGE(ALL_DATA!N95:N97)</f>
        <v>-12.6</v>
      </c>
      <c r="N33" s="227">
        <f>AVERAGE(ALL_DATA!O95:O97)</f>
        <v>15.766666666666667</v>
      </c>
      <c r="O33" s="227">
        <f>AVERAGE(ALL_DATA!P95:P97)</f>
        <v>1368390578.1584585</v>
      </c>
      <c r="P33" s="227">
        <f>AVERAGE(ALL_DATA!Q95:Q97)</f>
        <v>8.8333333333333339</v>
      </c>
      <c r="Q33" s="227">
        <f>AVERAGE(ALL_DATA!R95:R97)</f>
        <v>6.6666666666666666E-2</v>
      </c>
      <c r="R33" s="227">
        <f>AVERAGE(ALL_DATA!S95:S97)</f>
        <v>0.24444444444444446</v>
      </c>
      <c r="S33" s="227">
        <f>AVERAGE(ALL_DATA!T95:T97)</f>
        <v>15.196296296296296</v>
      </c>
      <c r="T33" s="227">
        <f>AVERAGE(ALL_DATA!U95:U97)</f>
        <v>26.667955752970645</v>
      </c>
      <c r="U33" s="227">
        <f>AVERAGE(ALL_DATA!V95:V97)</f>
        <v>38.940647320871655</v>
      </c>
      <c r="V33" s="227">
        <f>AVERAGE(ALL_DATA!W95:W97)</f>
        <v>40.933520174313969</v>
      </c>
      <c r="W33" s="227">
        <f>AVERAGE(ALL_DATA!X95:X97)</f>
        <v>7633.0733333333337</v>
      </c>
      <c r="X33" s="227">
        <f>AVERAGE(ALL_DATA!Y95:Y97)</f>
        <v>10.576666666666666</v>
      </c>
      <c r="Y33" s="227">
        <f>AVERAGE(ALL_DATA!Z95:Z97)</f>
        <v>0.10000000000000002</v>
      </c>
      <c r="Z33" s="227">
        <f>AVERAGE(ALL_DATA!AA95:AA97)</f>
        <v>9.9933333333333341</v>
      </c>
      <c r="AA33" s="227">
        <f>AVERAGE(ALL_DATA!AB95:AB97)</f>
        <v>31.466666666666669</v>
      </c>
      <c r="AB33" s="227">
        <f>AVERAGE(ALL_DATA!AC95:AC97)</f>
        <v>10.716666666666667</v>
      </c>
      <c r="AC33" s="227">
        <f>AVERAGE(ALL_DATA!AD95:AD97)</f>
        <v>27163.410000000003</v>
      </c>
      <c r="AD33" s="227">
        <f>AVERAGE(ALL_DATA!AE95:AE97)</f>
        <v>417.27</v>
      </c>
      <c r="AE33" s="227">
        <f>AVERAGE(ALL_DATA!AF95:AF97)</f>
        <v>22.953333333333333</v>
      </c>
      <c r="AF33" s="227">
        <f>AVERAGE(ALL_DATA!AG95:AG97)</f>
        <v>20.226666666666663</v>
      </c>
      <c r="AG33" s="227" t="s">
        <v>182</v>
      </c>
      <c r="AH33" s="227">
        <f>AVERAGE(ALL_DATA!AI95:AI97)</f>
        <v>34.589999999999996</v>
      </c>
      <c r="AI33" s="227">
        <f>AVERAGE(ALL_DATA!AJ95:AJ97)</f>
        <v>92.943333333333328</v>
      </c>
      <c r="AJ33" s="227">
        <f>AVERAGE(ALL_DATA!AK95:AK97)</f>
        <v>7.6666666666666675E-2</v>
      </c>
      <c r="AK33" s="227">
        <f>AVERAGE(ALL_DATA!AL95:AL97)</f>
        <v>6.9999999999999993E-2</v>
      </c>
      <c r="AL33" s="227">
        <f>AVERAGE(ALL_DATA!AM95:AM97)</f>
        <v>0.21</v>
      </c>
      <c r="AM33" s="227">
        <f>AVERAGE(ALL_DATA!AN95:AN97)</f>
        <v>0.56333333333333335</v>
      </c>
      <c r="AN33" s="227">
        <f>AVERAGE(ALL_DATA!AO95:AO97)</f>
        <v>242.57666666666668</v>
      </c>
      <c r="AO33" s="227">
        <f>AVERAGE(ALL_DATA!AP95:AP97)</f>
        <v>99.986666666666665</v>
      </c>
      <c r="AP33" s="227">
        <f>AVERAGE(ALL_DATA!AQ95:AQ97)</f>
        <v>39.290074477334258</v>
      </c>
      <c r="AQ33" s="227" t="s">
        <v>182</v>
      </c>
      <c r="AR33" s="227" t="s">
        <v>182</v>
      </c>
      <c r="AS33" s="227" t="s">
        <v>182</v>
      </c>
      <c r="AT33" s="227" t="s">
        <v>182</v>
      </c>
      <c r="AU33" s="227" t="s">
        <v>182</v>
      </c>
      <c r="AV33" s="227" t="s">
        <v>182</v>
      </c>
      <c r="AW33" s="227" t="s">
        <v>182</v>
      </c>
      <c r="AX33" s="227" t="s">
        <v>182</v>
      </c>
      <c r="AY33" s="227" t="s">
        <v>182</v>
      </c>
      <c r="AZ33" s="227" t="s">
        <v>182</v>
      </c>
      <c r="BA33" s="227" t="s">
        <v>182</v>
      </c>
      <c r="BB33" s="227" t="s">
        <v>182</v>
      </c>
      <c r="BC33" s="227" t="s">
        <v>182</v>
      </c>
      <c r="BD33" s="227" t="s">
        <v>182</v>
      </c>
      <c r="BE33" s="227" t="s">
        <v>182</v>
      </c>
      <c r="BF33" s="227" t="s">
        <v>182</v>
      </c>
      <c r="BG33" s="227" t="s">
        <v>182</v>
      </c>
      <c r="BH33" s="227" t="s">
        <v>182</v>
      </c>
      <c r="BI33" s="227" t="s">
        <v>182</v>
      </c>
      <c r="BJ33" s="227" t="s">
        <v>182</v>
      </c>
      <c r="BK33" s="227" t="s">
        <v>182</v>
      </c>
      <c r="BL33" s="227" t="s">
        <v>182</v>
      </c>
      <c r="BM33" s="227">
        <f>AVERAGE(ALL_DATA!BN95:BN97)</f>
        <v>2.4000000000000004E-2</v>
      </c>
      <c r="BN33" s="227" t="s">
        <v>182</v>
      </c>
      <c r="BO33" s="227" t="s">
        <v>182</v>
      </c>
      <c r="BP33" s="227" t="s">
        <v>182</v>
      </c>
      <c r="BQ33" s="227" t="s">
        <v>182</v>
      </c>
      <c r="BR33" s="227" t="s">
        <v>182</v>
      </c>
      <c r="BS33" s="227" t="s">
        <v>182</v>
      </c>
      <c r="BT33" s="227" t="s">
        <v>182</v>
      </c>
      <c r="BU33" s="227" t="s">
        <v>182</v>
      </c>
      <c r="BV33" s="227" t="s">
        <v>182</v>
      </c>
      <c r="BW33" s="227" t="s">
        <v>182</v>
      </c>
      <c r="BX33" s="227" t="s">
        <v>182</v>
      </c>
      <c r="BY33" s="227" t="s">
        <v>182</v>
      </c>
      <c r="BZ33" s="227">
        <f>AVERAGE(ALL_DATA!CA95:CA97)</f>
        <v>66.610826920942571</v>
      </c>
      <c r="CA33" s="227">
        <f>AVERAGE(ALL_DATA!CB95:CB97)</f>
        <v>1.9910000000000003</v>
      </c>
      <c r="CB33" s="227">
        <f>AVERAGE(ALL_DATA!CC95:CC97)</f>
        <v>8.1560000000000006</v>
      </c>
      <c r="CC33" s="227">
        <f>AVERAGE(ALL_DATA!CD95:CD97)</f>
        <v>39.198333333333331</v>
      </c>
      <c r="CD33" s="227">
        <f>AVERAGE(ALL_DATA!CE95:CE97)</f>
        <v>8.3874780000000015</v>
      </c>
      <c r="CE33" s="227">
        <f>AVERAGE(ALL_DATA!CF95:CF97)</f>
        <v>83.589843333333334</v>
      </c>
      <c r="CF33" s="227">
        <f>AVERAGE(ALL_DATA!CG95:CG97)</f>
        <v>8.0226783333333334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ALL_DATA</vt:lpstr>
      <vt:lpstr>MOYENNES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Clelia Duran</dc:creator>
  <cp:lastModifiedBy>Lucas PREVOT</cp:lastModifiedBy>
  <dcterms:created xsi:type="dcterms:W3CDTF">2024-12-18T18:29:57Z</dcterms:created>
  <dcterms:modified xsi:type="dcterms:W3CDTF">2026-06-08T15:33:30Z</dcterms:modified>
</cp:coreProperties>
</file>